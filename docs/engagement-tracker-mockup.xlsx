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ustomProperty2.bin" ContentType="application/vnd.openxmlformats-officedocument.spreadsheetml.customProperty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P:\FP&amp;A\Special Projects\2025\MOD Dashboard\Budget vs Actual\"/>
    </mc:Choice>
  </mc:AlternateContent>
  <xr:revisionPtr revIDLastSave="0" documentId="13_ncr:1_{43BEFA2E-D5B6-450C-A168-0411FFD56DF0}" xr6:coauthVersionLast="47" xr6:coauthVersionMax="47" xr10:uidLastSave="{00000000-0000-0000-0000-000000000000}"/>
  <bookViews>
    <workbookView xWindow="-90" yWindow="-90" windowWidth="19380" windowHeight="11460" firstSheet="1" activeTab="1" xr2:uid="{1FF81D15-16A5-4352-9F74-A0A28DB72AB5}"/>
  </bookViews>
  <sheets>
    <sheet name="Monthly" sheetId="1" state="hidden" r:id="rId1"/>
    <sheet name="Weekly" sheetId="2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Q60" i="2" l="1"/>
  <c r="N60" i="2"/>
  <c r="K60" i="2" l="1"/>
  <c r="T53" i="2"/>
  <c r="T52" i="2"/>
  <c r="T49" i="2"/>
  <c r="T48" i="2"/>
  <c r="T45" i="2"/>
  <c r="T44" i="2"/>
  <c r="T41" i="2"/>
  <c r="Q46" i="2"/>
  <c r="R46" i="2" s="1"/>
  <c r="G24" i="2"/>
  <c r="H24" i="2"/>
  <c r="Q42" i="2"/>
  <c r="L48" i="2"/>
  <c r="O48" i="2"/>
  <c r="R48" i="2"/>
  <c r="L49" i="2"/>
  <c r="O49" i="2"/>
  <c r="R49" i="2"/>
  <c r="K50" i="2"/>
  <c r="L50" i="2" s="1"/>
  <c r="N50" i="2"/>
  <c r="O50" i="2" s="1"/>
  <c r="Q50" i="2"/>
  <c r="R50" i="2" s="1"/>
  <c r="L66" i="2"/>
  <c r="J64" i="2"/>
  <c r="L65" i="2"/>
  <c r="L72" i="2"/>
  <c r="L71" i="2"/>
  <c r="J70" i="2"/>
  <c r="F70" i="2"/>
  <c r="F64" i="2"/>
  <c r="F68" i="2" s="1"/>
  <c r="L68" i="2" s="1"/>
  <c r="N42" i="2"/>
  <c r="Q54" i="2"/>
  <c r="N54" i="2"/>
  <c r="O54" i="2" s="1"/>
  <c r="K54" i="2"/>
  <c r="L54" i="2" s="1"/>
  <c r="N46" i="2"/>
  <c r="O46" i="2" s="1"/>
  <c r="K46" i="2"/>
  <c r="L46" i="2" s="1"/>
  <c r="G26" i="2"/>
  <c r="G25" i="2"/>
  <c r="H26" i="2"/>
  <c r="R45" i="2"/>
  <c r="O45" i="2"/>
  <c r="L45" i="2"/>
  <c r="R53" i="2"/>
  <c r="O53" i="2"/>
  <c r="L53" i="2"/>
  <c r="R52" i="2"/>
  <c r="O52" i="2"/>
  <c r="L52" i="2"/>
  <c r="R44" i="2"/>
  <c r="O44" i="2"/>
  <c r="L44" i="2"/>
  <c r="Q61" i="2" l="1"/>
  <c r="N61" i="2"/>
  <c r="T60" i="2"/>
  <c r="K61" i="2"/>
  <c r="U45" i="2"/>
  <c r="T50" i="2"/>
  <c r="U50" i="2"/>
  <c r="U48" i="2"/>
  <c r="T54" i="2"/>
  <c r="U53" i="2"/>
  <c r="T42" i="2"/>
  <c r="T46" i="2"/>
  <c r="U44" i="2"/>
  <c r="U46" i="2"/>
  <c r="U49" i="2"/>
  <c r="U52" i="2"/>
  <c r="L64" i="2"/>
  <c r="C4" i="2" s="1"/>
  <c r="H32" i="2"/>
  <c r="L70" i="2"/>
  <c r="G30" i="2"/>
  <c r="H30" i="2"/>
  <c r="G32" i="2"/>
  <c r="I26" i="2"/>
  <c r="R54" i="2"/>
  <c r="U54" i="2" s="1"/>
  <c r="I32" i="2"/>
  <c r="I30" i="2"/>
  <c r="I24" i="2"/>
  <c r="J24" i="2" s="1"/>
  <c r="H17" i="2" l="1"/>
  <c r="T61" i="2"/>
  <c r="H20" i="2" s="1"/>
  <c r="J32" i="2"/>
  <c r="J30" i="2"/>
  <c r="J26" i="2"/>
  <c r="O42" i="2" l="1"/>
  <c r="O61" i="2" s="1"/>
  <c r="R41" i="2"/>
  <c r="R60" i="2" s="1"/>
  <c r="O41" i="2"/>
  <c r="O60" i="2" s="1"/>
  <c r="L42" i="2"/>
  <c r="L61" i="2" s="1"/>
  <c r="L41" i="2"/>
  <c r="L60" i="2" s="1"/>
  <c r="L4" i="2" l="1"/>
  <c r="H11" i="2" s="1"/>
  <c r="I4" i="2"/>
  <c r="U41" i="2"/>
  <c r="U60" i="2" s="1"/>
  <c r="G31" i="2"/>
  <c r="G11" i="2"/>
  <c r="G27" i="2" l="1"/>
  <c r="K40" i="2"/>
  <c r="N40" i="2"/>
  <c r="N59" i="2" s="1"/>
  <c r="Q40" i="2"/>
  <c r="Q59" i="2" s="1"/>
  <c r="U2" i="1"/>
  <c r="C5" i="1"/>
  <c r="S2" i="1"/>
  <c r="C4" i="1"/>
  <c r="N3" i="1"/>
  <c r="P3" i="1" s="1"/>
  <c r="Q5" i="1"/>
  <c r="Q4" i="1"/>
  <c r="Q3" i="1"/>
  <c r="P1" i="1" s="1"/>
  <c r="N5" i="1"/>
  <c r="P5" i="1" s="1"/>
  <c r="R5" i="1" s="1"/>
  <c r="N4" i="1"/>
  <c r="P4" i="1" s="1"/>
  <c r="R4" i="1" s="1"/>
  <c r="N10" i="1"/>
  <c r="N11" i="1"/>
  <c r="N12" i="1"/>
  <c r="O12" i="1"/>
  <c r="Q12" i="1" s="1"/>
  <c r="O11" i="1"/>
  <c r="Q11" i="1" s="1"/>
  <c r="O10" i="1"/>
  <c r="Q10" i="1" s="1"/>
  <c r="F27" i="1"/>
  <c r="E28" i="1"/>
  <c r="E27" i="1"/>
  <c r="E26" i="1"/>
  <c r="E25" i="1"/>
  <c r="E24" i="1"/>
  <c r="E23" i="1"/>
  <c r="F28" i="1"/>
  <c r="F26" i="1"/>
  <c r="F25" i="1"/>
  <c r="F24" i="1"/>
  <c r="F23" i="1"/>
  <c r="J12" i="1"/>
  <c r="J13" i="1"/>
  <c r="J11" i="1"/>
  <c r="G12" i="1"/>
  <c r="G13" i="1"/>
  <c r="G11" i="1"/>
  <c r="I12" i="1"/>
  <c r="I13" i="1"/>
  <c r="I11" i="1"/>
  <c r="F12" i="1"/>
  <c r="F13" i="1"/>
  <c r="F11" i="1"/>
  <c r="K59" i="2" l="1"/>
  <c r="T40" i="2"/>
  <c r="T59" i="2"/>
  <c r="I25" i="2"/>
  <c r="R42" i="2"/>
  <c r="R61" i="2" s="1"/>
  <c r="H25" i="2"/>
  <c r="G17" i="2"/>
  <c r="G20" i="2"/>
  <c r="G33" i="2"/>
  <c r="R40" i="2"/>
  <c r="R59" i="2" s="1"/>
  <c r="S9" i="1"/>
  <c r="V2" i="1"/>
  <c r="U9" i="1"/>
  <c r="T2" i="1"/>
  <c r="P8" i="1"/>
  <c r="O40" i="2"/>
  <c r="O59" i="2" s="1"/>
  <c r="L40" i="2"/>
  <c r="L59" i="2" s="1"/>
  <c r="R3" i="1"/>
  <c r="R1" i="1" s="1"/>
  <c r="P10" i="1"/>
  <c r="R10" i="1" s="1"/>
  <c r="P12" i="1"/>
  <c r="R12" i="1" s="1"/>
  <c r="I15" i="1"/>
  <c r="C3" i="1" s="1"/>
  <c r="P11" i="1"/>
  <c r="J25" i="2" l="1"/>
  <c r="U40" i="2"/>
  <c r="U59" i="2" s="1"/>
  <c r="I31" i="2"/>
  <c r="U42" i="2"/>
  <c r="U61" i="2" s="1"/>
  <c r="H31" i="2"/>
  <c r="I17" i="2"/>
  <c r="J27" i="2"/>
  <c r="I27" i="2"/>
  <c r="H27" i="2"/>
  <c r="V9" i="1"/>
  <c r="R11" i="1"/>
  <c r="R8" i="1" s="1"/>
  <c r="T9" i="1"/>
  <c r="J31" i="2" l="1"/>
  <c r="J33" i="2" s="1"/>
  <c r="I40" i="2"/>
  <c r="I48" i="2"/>
  <c r="I52" i="2"/>
  <c r="G14" i="2"/>
  <c r="I44" i="2"/>
  <c r="M45" i="2" s="1"/>
  <c r="I33" i="2"/>
  <c r="H33" i="2"/>
  <c r="I20" i="2"/>
  <c r="M48" i="2" l="1"/>
  <c r="S50" i="2"/>
  <c r="M49" i="2"/>
  <c r="P49" i="2"/>
  <c r="S49" i="2"/>
  <c r="M50" i="2"/>
  <c r="P50" i="2"/>
  <c r="S48" i="2"/>
  <c r="P48" i="2"/>
  <c r="S46" i="2"/>
  <c r="P46" i="2"/>
  <c r="M46" i="2"/>
  <c r="V46" i="2" s="1"/>
  <c r="S44" i="2"/>
  <c r="S45" i="2"/>
  <c r="P45" i="2"/>
  <c r="M54" i="2"/>
  <c r="S54" i="2"/>
  <c r="P54" i="2"/>
  <c r="S52" i="2"/>
  <c r="P53" i="2"/>
  <c r="M53" i="2"/>
  <c r="S53" i="2"/>
  <c r="P52" i="2"/>
  <c r="M52" i="2"/>
  <c r="P44" i="2"/>
  <c r="M44" i="2"/>
  <c r="P42" i="2"/>
  <c r="S41" i="2"/>
  <c r="P41" i="2"/>
  <c r="S42" i="2"/>
  <c r="M41" i="2"/>
  <c r="M42" i="2"/>
  <c r="M40" i="2"/>
  <c r="S40" i="2"/>
  <c r="P40" i="2"/>
  <c r="S61" i="2" l="1"/>
  <c r="P61" i="2"/>
  <c r="P60" i="2"/>
  <c r="S60" i="2"/>
  <c r="P59" i="2"/>
  <c r="S59" i="2"/>
  <c r="M59" i="2"/>
  <c r="M61" i="2"/>
  <c r="V41" i="2"/>
  <c r="M60" i="2"/>
  <c r="V45" i="2"/>
  <c r="V52" i="2"/>
  <c r="V50" i="2"/>
  <c r="V53" i="2"/>
  <c r="V44" i="2"/>
  <c r="V49" i="2"/>
  <c r="V40" i="2"/>
  <c r="V48" i="2"/>
  <c r="V42" i="2"/>
  <c r="V54" i="2"/>
  <c r="I11" i="2"/>
  <c r="V61" i="2" l="1"/>
  <c r="H14" i="2" s="1"/>
  <c r="I14" i="2" s="1"/>
  <c r="V59" i="2"/>
  <c r="V6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iahad</author>
  </authors>
  <commentList>
    <comment ref="A11" authorId="0" shapeId="0" xr:uid="{0FCA475D-B642-4297-9BD4-C12516F5D7B5}">
      <text>
        <r>
          <rPr>
            <b/>
            <sz val="9"/>
            <color indexed="81"/>
            <rFont val="Tahoma"/>
            <family val="2"/>
          </rPr>
          <t>iahad:</t>
        </r>
        <r>
          <rPr>
            <sz val="9"/>
            <color indexed="81"/>
            <rFont val="Tahoma"/>
            <family val="2"/>
          </rPr>
          <t xml:space="preserve">
TBD uses highest rate for that level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tc={6802D334-3457-4D35-8063-4E178AA6899A}</author>
    <author>tc={A480EB65-1572-4F8A-9D3F-AC3464BB9C1E}</author>
    <author>tc={07723F6A-2657-4E62-97E3-BCBB5A471A4B}</author>
    <author>tc={1C6452F6-45E0-4E72-A930-0EBB3D373F38}</author>
    <author>tc={67CBAB48-2A6D-4721-A214-5B76C17E60F2}</author>
    <author>tc={D2DD9F85-EB4A-4BD0-971C-E754DBDBF241}</author>
    <author>tc={2289A770-4D66-4A20-B165-F0D580B08FBE}</author>
    <author>tc={47271CA4-CE2A-418C-9041-D64A09E3DC95}</author>
    <author>tc={5894CC28-39B8-4222-B86C-4B9C1F79288A}</author>
    <author>tc={6D3D7097-3087-4DB8-9A4E-49D742DDF3D2}</author>
    <author>tc={0E592668-867A-4C66-98DD-B82A41E7C452}</author>
    <author>tc={D22AC819-124E-49A9-83CF-E427A32414A1}</author>
    <author>tc={6D51E996-C85C-4FD5-ACAC-7CE97EF3B40B}</author>
    <author>tc={D0670F34-CCDD-4715-9684-BC0EE2FCF258}</author>
    <author>tc={28D29F10-68C3-4307-9256-F276EADBE23A}</author>
    <author>tc={8C14FFC5-EB8E-44D5-B175-9EB25D1339BA}</author>
    <author>tc={FFDF8C7F-417C-4A3F-8995-840E6E43B896}</author>
    <author>tc={4070F59A-364C-432C-BD24-E973A2656FF8}</author>
    <author>tc={403C6EEB-D921-4257-8CE6-CA6A917DDAA3}</author>
    <author>tc={19C7B926-34C1-4EC8-ACFC-B5B6F09F59BD}</author>
    <author>tc={6019D402-7F2B-4A89-B1B9-418672D66F9E}</author>
    <author>tc={DFA60A93-C246-4F0C-8B77-465FC57AD14B}</author>
    <author>tc={A2BCD779-7CA8-42D6-BB2C-6D2A697D1B89}</author>
    <author>tc={90C290F3-E1C2-4B08-93AE-D70011F63F7E}</author>
    <author>tc={D6C12E79-3B62-4AB1-BD31-623A4BB7C749}</author>
    <author>tc={5FC9733D-D190-4C1E-81A6-55B9868B5ED1}</author>
    <author>tc={1AD5D61F-F4CD-467D-808D-6765513AA8CF}</author>
    <author>tc={A17BC179-B032-44EA-875C-D6A45AAA9978}</author>
    <author>tc={3EB9BE1A-98C0-43E1-BBC6-320B0D1623EA}</author>
    <author>tc={B6D1CBCB-CB93-445F-9366-E3D13D6583ED}</author>
    <author>tc={8C363953-C194-4E69-8A56-30F7EB6C6B36}</author>
    <author>tc={5C896742-18AA-45E1-A25E-1AAAF7436E21}</author>
    <author>tc={BB2C4338-F2C8-4BFA-BB07-A2923E968F6A}</author>
    <author>tc={22963190-5E18-4F98-8A72-AF6F68190633}</author>
    <author>tc={58F207BC-2173-4C4D-AA21-41B54B014952}</author>
    <author>tc={51270F90-E83B-4864-9329-402E6F140748}</author>
    <author>tc={3481D16D-BAB3-41C9-B371-9318644A8A3F}</author>
    <author>tc={E0C2C0CE-F58F-4FC6-97DA-95AA6BA46E59}</author>
    <author>tc={7B70ED23-77D2-4C82-BAE6-3F341BD6BDAC}</author>
    <author>tc={49A6D2A1-6787-4379-BBC5-9F17A3769C67}</author>
    <author>tc={EBF49886-BF32-4B8E-93D2-2D4F3D148435}</author>
    <author>tc={536520B5-A44D-4994-B4EB-380E4404A7FE}</author>
    <author>tc={D9272A4E-9B41-4706-AD94-723E16471850}</author>
    <author>tc={4285ABA0-61DF-4E23-8287-A2A21AE2B741}</author>
    <author>tc={D567A020-663E-4174-9D14-46EF47EF6843}</author>
    <author>tc={49D5F5A7-959D-4A5A-A0EE-045439FC98BE}</author>
    <author>tc={81F28247-EE27-450E-843A-4388B8D5DDD2}</author>
    <author>tc={E783E2D2-E741-4EF3-B658-560C112FC3FB}</author>
    <author>tc={3A3E5488-E366-4C48-9E7C-26C4C4D34419}</author>
    <author>tc={B507C305-E6BF-409C-AACB-A3E2D915B8D7}</author>
    <author>tc={672A3B0F-6B41-4A57-B7D1-093CA8CF89F3}</author>
    <author>tc={B1AB43BA-7DC7-4561-B68E-F4F12EF7B8DD}</author>
    <author>tc={1D335140-6B43-4238-A596-19B173BFDEB1}</author>
    <author>tc={11F60A21-1EE5-41D4-BFA5-FE8B844B0C2A}</author>
    <author>tc={757D5D69-8586-4577-BBFF-2D89FBFCF40D}</author>
    <author>tc={F7AB545B-2482-4E92-9F4C-59FD73D2233B}</author>
    <author>tc={21D96AB0-794A-40B7-86D8-D9A28E4705AD}</author>
    <author>tc={D04C5E13-8742-46AD-8BDB-CFEF96AEC6B4}</author>
    <author>tc={C85EB72C-57AD-4B1B-8CA5-3DFB81DB1489}</author>
    <author>tc={FBC5D44A-1D86-46EC-A7A9-ABE52BEF2273}</author>
    <author>tc={E35BDBAA-4DC9-4225-9849-8C30C599EAF0}</author>
    <author>tc={E746ACF9-771F-4830-9341-7DC461F2F0D5}</author>
    <author>tc={ABBB30A9-D98A-4850-A191-B5B2A309AA29}</author>
    <author>tc={6CC5C57A-8B55-48D0-9EB1-BD3308EBC2D5}</author>
    <author>tc={CB4D3BD7-6D47-4335-AFF7-BC7C9D07A3E5}</author>
    <author>tc={CD05BFA4-DDEE-4ACE-8C87-A175B3D9540D}</author>
    <author>tc={A2E3C0B0-B56B-4AB4-B596-82EE2249C483}</author>
    <author>tc={51F7C3FA-BBB3-4F62-82B9-C8EA9E66651C}</author>
  </authors>
  <commentList>
    <comment ref="C4" authorId="0" shapeId="0" xr:uid="{6802D334-3457-4D35-8063-4E178AA6899A}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Budgeted revenue + revenue adjustments</t>
      </text>
    </comment>
    <comment ref="F4" authorId="1" shapeId="0" xr:uid="{A480EB65-1572-4F8A-9D3F-AC3464BB9C1E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tool calculation
Reply:
    Ideal hours coefficient (calculated outside of the tools) * actual hours</t>
      </text>
    </comment>
    <comment ref="I4" authorId="2" shapeId="0" xr:uid="{07723F6A-2657-4E62-97E3-BCBB5A471A4B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tool calculation
Reply:
    Ideal hours coefficient (calculated outside of the tools) * actual hours</t>
      </text>
    </comment>
    <comment ref="L4" authorId="3" shapeId="0" xr:uid="{1C6452F6-45E0-4E72-A930-0EBB3D373F38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tool calculation</t>
      </text>
    </comment>
    <comment ref="G11" authorId="4" shapeId="0" xr:uid="{67CBAB48-2A6D-4721-A214-5B76C17E60F2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 lake/budget tool</t>
      </text>
    </comment>
    <comment ref="G14" authorId="5" shapeId="0" xr:uid="{D2DD9F85-EB4A-4BD0-971C-E754DBDBF241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 lake/budget tool</t>
      </text>
    </comment>
    <comment ref="G17" authorId="6" shapeId="0" xr:uid="{2289A770-4D66-4A20-B165-F0D580B08FBE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 lake/budget tool</t>
      </text>
    </comment>
    <comment ref="B20" authorId="7" shapeId="0" xr:uid="{47271CA4-CE2A-418C-9041-D64A09E3DC95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data in this table would come from the data lake/budget tool data</t>
      </text>
    </comment>
    <comment ref="G20" authorId="8" shapeId="0" xr:uid="{5894CC28-39B8-4222-B86C-4B9C1F79288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 lake/budget tool</t>
      </text>
    </comment>
    <comment ref="C22" authorId="9" shapeId="0" xr:uid="{6D3D7097-3087-4DB8-9A4E-49D742DDF3D2}">
      <text>
        <t>[Threaded comment]
Your version of Excel allows you to read this threaded comment; however, any edits to it will get removed if the file is opened in a newer version of Excel. Learn more: https://go.microsoft.com/fwlink/?linkid=870924
Comment:
    Budget data from EMR</t>
      </text>
    </comment>
    <comment ref="D22" authorId="10" shapeId="0" xr:uid="{0E592668-867A-4C66-98DD-B82A41E7C452}">
      <text>
        <t>[Threaded comment]
Your version of Excel allows you to read this threaded comment; however, any edits to it will get removed if the file is opened in a newer version of Excel. Learn more: https://go.microsoft.com/fwlink/?linkid=870924
Comment:
    LTD Data from EMR, if there is data</t>
      </text>
    </comment>
    <comment ref="B37" authorId="11" shapeId="0" xr:uid="{D22AC819-124E-49A9-83CF-E427A32414A1}">
      <text>
        <t>[Threaded comment]
Your version of Excel allows you to read this threaded comment; however, any edits to it will get removed if the file is opened in a newer version of Excel. Learn more: https://go.microsoft.com/fwlink/?linkid=870924
Comment:
    If the user checks this box, then all TBDs in the tool will show 0 hours in the forecasted periods</t>
      </text>
    </comment>
    <comment ref="B39" authorId="12" shapeId="0" xr:uid="{6D51E996-C85C-4FD5-ACAC-7CE97EF3B40B}">
      <text>
        <t>[Threaded comment]
Your version of Excel allows you to read this threaded comment; however, any edits to it will get removed if the file is opened in a newer version of Excel. Learn more: https://go.microsoft.com/fwlink/?linkid=870924
Comment:
    Pull in all employees and ICs that were in budget + anyone with actuals charged to the engagement</t>
      </text>
    </comment>
    <comment ref="C39" authorId="13" shapeId="0" xr:uid="{D0670F34-CCDD-4715-9684-BC0EE2FCF258}">
      <text>
        <t>[Threaded comment]
Your version of Excel allows you to read this threaded comment; however, any edits to it will get removed if the file is opened in a newer version of Excel. Learn more: https://go.microsoft.com/fwlink/?linkid=870924
Comment:
    Similar to the above box, but it will remove all forecasted hours for this consultant only when checked</t>
      </text>
    </comment>
    <comment ref="D39" authorId="14" shapeId="0" xr:uid="{28D29F10-68C3-4307-9256-F276EADBE23A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we pull in whatever was typed into the budget tool? If not, we can remove this field.</t>
      </text>
    </comment>
    <comment ref="I39" authorId="15" shapeId="0" xr:uid="{8C14FFC5-EB8E-44D5-B175-9EB25D1339BA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Standard Bill rate * project budgeted realization (from budget tool)</t>
      </text>
    </comment>
    <comment ref="L39" authorId="16" shapeId="0" xr:uid="{FFDF8C7F-417C-4A3F-8995-840E6E43B896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tool calculation - hours * standard rate</t>
      </text>
    </comment>
    <comment ref="M39" authorId="17" shapeId="0" xr:uid="{4070F59A-364C-432C-BD24-E973A2656FF8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tool calculation - hours * engagement rate</t>
      </text>
    </comment>
    <comment ref="O39" authorId="18" shapeId="0" xr:uid="{403C6EEB-D921-4257-8CE6-CA6A917DDAA3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tool calculation - hours * standard rate</t>
      </text>
    </comment>
    <comment ref="P39" authorId="19" shapeId="0" xr:uid="{19C7B926-34C1-4EC8-ACFC-B5B6F09F59BD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tool calculation - hours * engagement rate</t>
      </text>
    </comment>
    <comment ref="R39" authorId="20" shapeId="0" xr:uid="{6019D402-7F2B-4A89-B1B9-418672D66F9E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tool calculation - hours * standard rate</t>
      </text>
    </comment>
    <comment ref="S39" authorId="21" shapeId="0" xr:uid="{DFA60A93-C246-4F0C-8B77-465FC57AD14B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tool calculation - hours * engagement rate</t>
      </text>
    </comment>
    <comment ref="U39" authorId="22" shapeId="0" xr:uid="{A2BCD779-7CA8-42D6-BB2C-6D2A697D1B89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tool calculation - hours * standard rate</t>
      </text>
    </comment>
    <comment ref="V39" authorId="23" shapeId="0" xr:uid="{90C290F3-E1C2-4B08-93AE-D70011F63F7E}">
      <text>
        <t>[Threaded comment]
Your version of Excel allows you to read this threaded comment; however, any edits to it will get removed if the file is opened in a newer version of Excel. Learn more: https://go.microsoft.com/fwlink/?linkid=870924
Comment:
    In tool calculation - hours * engagement rate</t>
      </text>
    </comment>
    <comment ref="B40" authorId="24" shapeId="0" xr:uid="{D6C12E79-3B62-4AB1-BD31-623A4BB7C749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 lake/budget tool</t>
      </text>
    </comment>
    <comment ref="J40" authorId="25" shapeId="0" xr:uid="{5FC9733D-D190-4C1E-81A6-55B9868B5ED1}">
      <text>
        <t>[Threaded comment]
Your version of Excel allows you to read this threaded comment; however, any edits to it will get removed if the file is opened in a newer version of Excel. Learn more: https://go.microsoft.com/fwlink/?linkid=870924
Comment:
    Hours from data lake/budget tool</t>
      </text>
    </comment>
    <comment ref="J41" authorId="26" shapeId="0" xr:uid="{1AD5D61F-F4CD-467D-808D-6765513AA8CF}">
      <text>
        <t>[Threaded comment]
Your version of Excel allows you to read this threaded comment; however, any edits to it will get removed if the file is opened in a newer version of Excel. Learn more: https://go.microsoft.com/fwlink/?linkid=870924
Comment:
    Hours from intapp - based on work date</t>
      </text>
    </comment>
    <comment ref="K41" authorId="27" shapeId="0" xr:uid="{A17BC179-B032-44EA-875C-D6A45AAA9978}">
      <text>
        <t>[Threaded comment]
Your version of Excel allows you to read this threaded comment; however, any edits to it will get removed if the file is opened in a newer version of Excel. Learn more: https://go.microsoft.com/fwlink/?linkid=870924
Comment:
    TBDs in the budget will always have 0 hours in actuals, but should still show up so budgeted hours tie</t>
      </text>
    </comment>
    <comment ref="J42" authorId="28" shapeId="0" xr:uid="{3EB9BE1A-98C0-43E1-BBC6-320B0D1623EA}">
      <text>
        <t>[Threaded comment]
Your version of Excel allows you to read this threaded comment; however, any edits to it will get removed if the file is opened in a newer version of Excel. Learn more: https://go.microsoft.com/fwlink/?linkid=870924
Comment:
    Pre-populated with actuals if it is a previous period (prior week or month) and budget if it is not a closed period. If a user has entered a manual adjustment at any point, that should be saved and only over-written by another manual adjustment.
Reply:
    All of the hour inputs should be able to be edited by the PMD/user</t>
      </text>
    </comment>
    <comment ref="B44" authorId="29" shapeId="0" xr:uid="{B6D1CBCB-CB93-445F-9366-E3D13D6583ED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 lake/budget tool</t>
      </text>
    </comment>
    <comment ref="J44" authorId="30" shapeId="0" xr:uid="{8C363953-C194-4E69-8A56-30F7EB6C6B36}">
      <text>
        <t>[Threaded comment]
Your version of Excel allows you to read this threaded comment; however, any edits to it will get removed if the file is opened in a newer version of Excel. Learn more: https://go.microsoft.com/fwlink/?linkid=870924
Comment:
    Hours from data lake/budget tool</t>
      </text>
    </comment>
    <comment ref="J45" authorId="31" shapeId="0" xr:uid="{5C896742-18AA-45E1-A25E-1AAAF7436E21}">
      <text>
        <t>[Threaded comment]
Your version of Excel allows you to read this threaded comment; however, any edits to it will get removed if the file is opened in a newer version of Excel. Learn more: https://go.microsoft.com/fwlink/?linkid=870924
Comment:
    Hours from intapp - based on work date</t>
      </text>
    </comment>
    <comment ref="J46" authorId="32" shapeId="0" xr:uid="{BB2C4338-F2C8-4BFA-BB07-A2923E968F6A}">
      <text>
        <t>[Threaded comment]
Your version of Excel allows you to read this threaded comment; however, any edits to it will get removed if the file is opened in a newer version of Excel. Learn more: https://go.microsoft.com/fwlink/?linkid=870924
Comment:
    Pre-populated with actuals if it is a previous period (prior week or month) and budget if it is not a closed period. If a user has entered a manual adjustment at any point, that should be saved and only over-written by another manual adjustment.
Reply:
    All of the hour inputs should be able to be edited by the PMD/user</t>
      </text>
    </comment>
    <comment ref="B48" authorId="33" shapeId="0" xr:uid="{22963190-5E18-4F98-8A72-AF6F6819063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 lake/budget tool</t>
      </text>
    </comment>
    <comment ref="J48" authorId="34" shapeId="0" xr:uid="{58F207BC-2173-4C4D-AA21-41B54B014952}">
      <text>
        <t>[Threaded comment]
Your version of Excel allows you to read this threaded comment; however, any edits to it will get removed if the file is opened in a newer version of Excel. Learn more: https://go.microsoft.com/fwlink/?linkid=870924
Comment:
    Hours from data lake/budget tool</t>
      </text>
    </comment>
    <comment ref="J49" authorId="35" shapeId="0" xr:uid="{51270F90-E83B-4864-9329-402E6F140748}">
      <text>
        <t>[Threaded comment]
Your version of Excel allows you to read this threaded comment; however, any edits to it will get removed if the file is opened in a newer version of Excel. Learn more: https://go.microsoft.com/fwlink/?linkid=870924
Comment:
    Hours from intapp - based on work date</t>
      </text>
    </comment>
    <comment ref="J50" authorId="36" shapeId="0" xr:uid="{3481D16D-BAB3-41C9-B371-9318644A8A3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Pre-populated with actuals if it is a previous period (prior week or month) and budget if it is not a closed period. If a user has entered a manual adjustment at any point, that should be saved and only over-written by another manual adjustment.
Reply:
    All of the hour inputs should be able to be edited by the PMD/user</t>
      </text>
    </comment>
    <comment ref="B52" authorId="37" shapeId="0" xr:uid="{E0C2C0CE-F58F-4FC6-97DA-95AA6BA46E59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actuals in data lake (not in original budget, so it won’t show up in the budget tool)</t>
      </text>
    </comment>
    <comment ref="J52" authorId="38" shapeId="0" xr:uid="{7B70ED23-77D2-4C82-BAE6-3F341BD6BDAC}">
      <text>
        <t>[Threaded comment]
Your version of Excel allows you to read this threaded comment; however, any edits to it will get removed if the file is opened in a newer version of Excel. Learn more: https://go.microsoft.com/fwlink/?linkid=870924
Comment:
    Hours from data lake/budget tool
Reply:
    This person wasn’t in the original budget, so their budgeted hours will show as 0</t>
      </text>
    </comment>
    <comment ref="J53" authorId="39" shapeId="0" xr:uid="{49A6D2A1-6787-4379-BBC5-9F17A3769C67}">
      <text>
        <t>[Threaded comment]
Your version of Excel allows you to read this threaded comment; however, any edits to it will get removed if the file is opened in a newer version of Excel. Learn more: https://go.microsoft.com/fwlink/?linkid=870924
Comment:
    Hours from intapp - based on work date</t>
      </text>
    </comment>
    <comment ref="J54" authorId="40" shapeId="0" xr:uid="{EBF49886-BF32-4B8E-93D2-2D4F3D148435}">
      <text>
        <t>[Threaded comment]
Your version of Excel allows you to read this threaded comment; however, any edits to it will get removed if the file is opened in a newer version of Excel. Learn more: https://go.microsoft.com/fwlink/?linkid=870924
Comment:
    Pre-populated with actuals if it is a previous period (prior week or month) and budget if it is not a closed period. If a user has entered a manual adjustment at any point, that should be saved and only over-written by another manual adjustment.
Reply:
    All of the hour inputs should be able to be edited by the PMD/user</t>
      </text>
    </comment>
    <comment ref="B56" authorId="41" shapeId="0" xr:uid="{536520B5-A44D-4994-B4EB-380E4404A7FE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able to add additional employees</t>
      </text>
    </comment>
    <comment ref="F64" authorId="42" shapeId="0" xr:uid="{D9272A4E-9B41-4706-AD94-723E16471850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 lake/budget tool</t>
      </text>
    </comment>
    <comment ref="H64" authorId="43" shapeId="0" xr:uid="{4285ABA0-61DF-4E23-8287-A2A21AE2B741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Actuals from data lake (if there are any)</t>
      </text>
    </comment>
    <comment ref="L64" authorId="44" shapeId="0" xr:uid="{D567A020-663E-4174-9D14-46EF47EF684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budgeted revenue unless there is something in the adjustment, then budgeted revenue + adjustments</t>
      </text>
    </comment>
    <comment ref="F65" authorId="45" shapeId="0" xr:uid="{49D5F5A7-959D-4A5A-A0EE-045439FC98BE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 lake/budget tool</t>
      </text>
    </comment>
    <comment ref="H65" authorId="46" shapeId="0" xr:uid="{81F28247-EE27-450E-843A-4388B8D5DDD2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Actuals from data lake (if there are any)</t>
      </text>
    </comment>
    <comment ref="J65" authorId="47" shapeId="0" xr:uid="{E783E2D2-E741-4EF3-B658-560C112FC3F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Field able to be edited by user </t>
      </text>
    </comment>
    <comment ref="L65" authorId="48" shapeId="0" xr:uid="{3A3E5488-E366-4C48-9E7C-26C4C4D34419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budgeted revenue unless there is something in the adjustment, then budgeted revenue + adjustments</t>
      </text>
    </comment>
    <comment ref="F66" authorId="49" shapeId="0" xr:uid="{B507C305-E6BF-409C-AACB-A3E2D915B8D7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 lake/budget tool</t>
      </text>
    </comment>
    <comment ref="H66" authorId="50" shapeId="0" xr:uid="{672A3B0F-6B41-4A57-B7D1-093CA8CF89F3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Actuals from data lake (if there are any)</t>
      </text>
    </comment>
    <comment ref="J66" authorId="51" shapeId="0" xr:uid="{B1AB43BA-7DC7-4561-B68E-F4F12EF7B8D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Field able to be edited by user </t>
      </text>
    </comment>
    <comment ref="L66" authorId="52" shapeId="0" xr:uid="{1D335140-6B43-4238-A596-19B173BFDEB1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budgeted revenue unless there is something in the adjustment, then budgeted revenue + adjustments</t>
      </text>
    </comment>
    <comment ref="F68" authorId="53" shapeId="0" xr:uid="{11F60A21-1EE5-41D4-BFA5-FE8B844B0C2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 lake/budget tool</t>
      </text>
    </comment>
    <comment ref="H68" authorId="54" shapeId="0" xr:uid="{757D5D69-8586-4577-BBFF-2D89FBFCF40D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Actuals from data lake (if there are any)</t>
      </text>
    </comment>
    <comment ref="J68" authorId="55" shapeId="0" xr:uid="{F7AB545B-2482-4E92-9F4C-59FD73D2233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Field able to be edited by user </t>
      </text>
    </comment>
    <comment ref="L68" authorId="56" shapeId="0" xr:uid="{21D96AB0-794A-40B7-86D8-D9A28E4705AD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budgeted revenue unless there is something in the adjustment, then budgeted revenue + adjustments</t>
      </text>
    </comment>
    <comment ref="F70" authorId="57" shapeId="0" xr:uid="{D04C5E13-8742-46AD-8BDB-CFEF96AEC6B4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 lake/budget tool</t>
      </text>
    </comment>
    <comment ref="H70" authorId="58" shapeId="0" xr:uid="{C85EB72C-57AD-4B1B-8CA5-3DFB81DB1489}">
      <text>
        <t>[Threaded comment]
Your version of Excel allows you to read this threaded comment; however, any edits to it will get removed if the file is opened in a newer version of Excel. Learn more: https://go.microsoft.com/fwlink/?linkid=870924
Comment:
    Actuals from data lake (if there are any)</t>
      </text>
    </comment>
    <comment ref="L70" authorId="59" shapeId="0" xr:uid="{FBC5D44A-1D86-46EC-A7A9-ABE52BEF2273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budgeted revenue unless there is something in the adjustment, then budgeted revenue + adjustments</t>
      </text>
    </comment>
    <comment ref="F71" authorId="60" shapeId="0" xr:uid="{E35BDBAA-4DC9-4225-9849-8C30C599EAF0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 lake/budget tool</t>
      </text>
    </comment>
    <comment ref="H71" authorId="61" shapeId="0" xr:uid="{E746ACF9-771F-4830-9341-7DC461F2F0D5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be grayed out. We can’t get actuals at this level</t>
      </text>
    </comment>
    <comment ref="J71" authorId="62" shapeId="0" xr:uid="{ABBB30A9-D98A-4850-A191-B5B2A309AA2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Field able to be edited by user </t>
      </text>
    </comment>
    <comment ref="L71" authorId="63" shapeId="0" xr:uid="{6CC5C57A-8B55-48D0-9EB1-BD3308EBC2D5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budgeted revenue unless there is something in the adjustment, then budgeted revenue + adjustments</t>
      </text>
    </comment>
    <comment ref="F72" authorId="64" shapeId="0" xr:uid="{CB4D3BD7-6D47-4335-AFF7-BC7C9D07A3E5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data lake/budget tool</t>
      </text>
    </comment>
    <comment ref="H72" authorId="65" shapeId="0" xr:uid="{CD05BFA4-DDEE-4ACE-8C87-A175B3D9540D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will be grayed out. We can’t get actuals at this level</t>
      </text>
    </comment>
    <comment ref="J72" authorId="66" shapeId="0" xr:uid="{A2E3C0B0-B56B-4AB4-B596-82EE2249C48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Field able to be edited by user </t>
      </text>
    </comment>
    <comment ref="L72" authorId="67" shapeId="0" xr:uid="{51F7C3FA-BBB3-4F62-82B9-C8EA9E66651C}">
      <text>
        <t>[Threaded comment]
Your version of Excel allows you to read this threaded comment; however, any edits to it will get removed if the file is opened in a newer version of Excel. Learn more: https://go.microsoft.com/fwlink/?linkid=870924
Comment:
    Use budgeted revenue unless there is something in the adjustment, then budgeted revenue + adjustments</t>
      </text>
    </comment>
  </commentList>
</comments>
</file>

<file path=xl/sharedStrings.xml><?xml version="1.0" encoding="utf-8"?>
<sst xmlns="http://schemas.openxmlformats.org/spreadsheetml/2006/main" count="222" uniqueCount="107">
  <si>
    <t>Budget</t>
  </si>
  <si>
    <t>As of May 1</t>
  </si>
  <si>
    <t>Actual Realization</t>
  </si>
  <si>
    <t>Estimated Realization</t>
  </si>
  <si>
    <t>Engagement Budget</t>
  </si>
  <si>
    <t>Fixed</t>
  </si>
  <si>
    <t>Title</t>
  </si>
  <si>
    <t>Hours (Budget)</t>
  </si>
  <si>
    <t>Hours Remaining</t>
  </si>
  <si>
    <t>Fees @ Std</t>
  </si>
  <si>
    <t>Est. Fees @ Std</t>
  </si>
  <si>
    <t>Realization</t>
  </si>
  <si>
    <t>PMD</t>
  </si>
  <si>
    <t xml:space="preserve">Start Date </t>
  </si>
  <si>
    <t>Director</t>
  </si>
  <si>
    <t>End Date</t>
  </si>
  <si>
    <t>Consultant</t>
  </si>
  <si>
    <t>Period</t>
  </si>
  <si>
    <t>2 months</t>
  </si>
  <si>
    <t>Apr</t>
  </si>
  <si>
    <t>May</t>
  </si>
  <si>
    <t>Rate (std)</t>
  </si>
  <si>
    <t>Rate (eng)</t>
  </si>
  <si>
    <t>Hours</t>
  </si>
  <si>
    <t>Fees @ Eng</t>
  </si>
  <si>
    <t>As of May 15</t>
  </si>
  <si>
    <t>TBD Director</t>
  </si>
  <si>
    <t>Nicola Mazzarotto</t>
  </si>
  <si>
    <t>Ruben Girn</t>
  </si>
  <si>
    <t>Total</t>
  </si>
  <si>
    <t>Actuals</t>
  </si>
  <si>
    <t>Scenario 1 - Over Budget</t>
  </si>
  <si>
    <t>Level</t>
  </si>
  <si>
    <t>Worked Hours</t>
  </si>
  <si>
    <t>Budgeted Hours</t>
  </si>
  <si>
    <t>Fees @ Std Actuals</t>
  </si>
  <si>
    <t>Fees @ Std Budget</t>
  </si>
  <si>
    <t xml:space="preserve"> </t>
  </si>
  <si>
    <t>Week 1</t>
  </si>
  <si>
    <t>Week 2</t>
  </si>
  <si>
    <t>Week 3</t>
  </si>
  <si>
    <t>Hours (Actual)</t>
  </si>
  <si>
    <t>Actual Staff/PMD Hours</t>
  </si>
  <si>
    <t>Est. Staff/PMD Hours</t>
  </si>
  <si>
    <t>Staff/PMD hours</t>
  </si>
  <si>
    <t>% Hrs Below Director</t>
  </si>
  <si>
    <t>Actual % of Hrs Below D</t>
  </si>
  <si>
    <t>Est. % of Hrs Below D</t>
  </si>
  <si>
    <t>Staff/PMD Hours</t>
  </si>
  <si>
    <t>% of Hours below Director</t>
  </si>
  <si>
    <t>Consultant Name</t>
  </si>
  <si>
    <t>Engagement Details Summary</t>
  </si>
  <si>
    <t>Consultant Level</t>
  </si>
  <si>
    <t>3 weeks</t>
  </si>
  <si>
    <t>Hours (Total Budget)</t>
  </si>
  <si>
    <t>Fees @ Std (Total Budget)</t>
  </si>
  <si>
    <t>Christopher Hakim</t>
  </si>
  <si>
    <t>Marc Brown</t>
  </si>
  <si>
    <t>Talmage Corey</t>
  </si>
  <si>
    <t>Variance to Budget</t>
  </si>
  <si>
    <t>Margin</t>
  </si>
  <si>
    <t>Margin %</t>
  </si>
  <si>
    <t>Est. Margin %</t>
  </si>
  <si>
    <r>
      <t xml:space="preserve">Est. Revenue </t>
    </r>
    <r>
      <rPr>
        <b/>
        <sz val="16"/>
        <color theme="1"/>
        <rFont val="Aptos Narrow"/>
        <family val="2"/>
        <scheme val="minor"/>
      </rPr>
      <t>(in $000s)</t>
    </r>
  </si>
  <si>
    <r>
      <t xml:space="preserve">Est. Margin </t>
    </r>
    <r>
      <rPr>
        <b/>
        <sz val="16"/>
        <color theme="1"/>
        <rFont val="Aptos Narrow"/>
        <family val="2"/>
        <scheme val="minor"/>
      </rPr>
      <t>(in $000s)</t>
    </r>
  </si>
  <si>
    <t>3/30/26 - 4/5/26</t>
  </si>
  <si>
    <t>4/6/26 - 4/12/26</t>
  </si>
  <si>
    <t>4/13/26 - 4/19/26</t>
  </si>
  <si>
    <t>Scenario</t>
  </si>
  <si>
    <t>Forecast</t>
  </si>
  <si>
    <t>As of April 12, 2026</t>
  </si>
  <si>
    <t>Hours (Forecast)</t>
  </si>
  <si>
    <t>Fees @ Std (Forecast)</t>
  </si>
  <si>
    <t>Budgeted Revenue</t>
  </si>
  <si>
    <t>Budgeted Expenses</t>
  </si>
  <si>
    <t>Budgeted ETS Costs</t>
  </si>
  <si>
    <t>Digital Tools</t>
  </si>
  <si>
    <t>ETS Costs</t>
  </si>
  <si>
    <t>Revenue Adjustment</t>
  </si>
  <si>
    <t xml:space="preserve">Expenses Adjustment </t>
  </si>
  <si>
    <t>ETS Costs Adjustment</t>
  </si>
  <si>
    <t xml:space="preserve">LTD Revenue </t>
  </si>
  <si>
    <t xml:space="preserve">LTD Expenses </t>
  </si>
  <si>
    <t>LTD ETS Costs</t>
  </si>
  <si>
    <t>Agreed Base Feed</t>
  </si>
  <si>
    <t>LTD</t>
  </si>
  <si>
    <t>X</t>
  </si>
  <si>
    <t>Remove TBD Forecasted Hours</t>
  </si>
  <si>
    <t>[INSERT NEW EMPLOYEE]</t>
  </si>
  <si>
    <t>Weekly Summary</t>
  </si>
  <si>
    <t>Subtotal</t>
  </si>
  <si>
    <r>
      <t xml:space="preserve">Forecasted Revenue
</t>
    </r>
    <r>
      <rPr>
        <b/>
        <i/>
        <sz val="11"/>
        <color theme="0"/>
        <rFont val="Aptos Narrow"/>
        <family val="2"/>
        <scheme val="minor"/>
      </rPr>
      <t>(Budget + Adjustments)</t>
    </r>
  </si>
  <si>
    <r>
      <t>Forecasted Expenses</t>
    </r>
    <r>
      <rPr>
        <b/>
        <i/>
        <sz val="11"/>
        <color theme="0"/>
        <rFont val="Aptos Narrow"/>
        <family val="2"/>
        <scheme val="minor"/>
      </rPr>
      <t xml:space="preserve">
(Budget + Adjustments)</t>
    </r>
  </si>
  <si>
    <r>
      <t xml:space="preserve">Forecasted ETS Costs
</t>
    </r>
    <r>
      <rPr>
        <b/>
        <i/>
        <sz val="11"/>
        <color theme="0"/>
        <rFont val="Aptos Narrow"/>
        <family val="2"/>
        <scheme val="minor"/>
      </rPr>
      <t>(Budget + Adjustments)</t>
    </r>
  </si>
  <si>
    <t>Engagement Details</t>
  </si>
  <si>
    <t>Revenue</t>
  </si>
  <si>
    <t>Region</t>
  </si>
  <si>
    <t>Industry/Service Line</t>
  </si>
  <si>
    <t>Role/Workstream</t>
  </si>
  <si>
    <t>RISK</t>
  </si>
  <si>
    <t>Americas</t>
  </si>
  <si>
    <t>Remove Fcst Hours</t>
  </si>
  <si>
    <t>Summary</t>
  </si>
  <si>
    <t>Fees @ Std (Actual)</t>
  </si>
  <si>
    <t>Agreed Base Fees</t>
  </si>
  <si>
    <t>Contingent/Other Fees</t>
  </si>
  <si>
    <r>
      <t xml:space="preserve">Est. Total Revenue </t>
    </r>
    <r>
      <rPr>
        <b/>
        <sz val="16"/>
        <color theme="1"/>
        <rFont val="Aptos Narrow"/>
        <family val="2"/>
        <scheme val="minor"/>
      </rPr>
      <t>(in $000s)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</si>
</sst>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"/>
    <numFmt numFmtId="166" formatCode="0.0%"/>
    <numFmt numFmtId="167" formatCode="#,##0.0_);\(#,##0.0\)"/>
    <numFmt numFmtId="168" formatCode="0.0&quot; pts&quot;"/>
    <numFmt numFmtId="169" formatCode="&quot;$&quot;#,#00;\(&quot;$&quot;#,#00\)"/>
    <numFmt numFmtId="170" formatCode="0.0;\(0.0\)"/>
    <numFmt numFmtId="171" formatCode="&quot;$&quot;#,##0.0_);[Red]\(&quot;$&quot;#,##0.0\)"/>
    <numFmt numFmtId="172" formatCode="#,##0.00;\(#,##0.00\);\-"/>
    <numFmt numFmtId="173" formatCode="&quot;$&quot;#,#00;\(&quot;$&quot;#,#00\);\-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26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-0.8999908444471571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0">
    <xf numFmtId="0" fontId="0" fillId="0" borderId="0" xfId="0"/>
    <xf numFmtId="16" fontId="0" fillId="0" borderId="0" xfId="0" applyNumberFormat="1"/>
    <xf numFmtId="0" fontId="0" fillId="0" borderId="1" xfId="0" applyBorder="1"/>
    <xf numFmtId="164" fontId="0" fillId="0" borderId="0" xfId="1" applyNumberFormat="1" applyFont="1" applyBorder="1"/>
    <xf numFmtId="164" fontId="0" fillId="0" borderId="0" xfId="1" applyNumberFormat="1" applyFont="1"/>
    <xf numFmtId="0" fontId="1" fillId="2" borderId="0" xfId="0" applyFont="1" applyFill="1"/>
    <xf numFmtId="0" fontId="1" fillId="2" borderId="1" xfId="0" applyFont="1" applyFill="1" applyBorder="1"/>
    <xf numFmtId="0" fontId="1" fillId="0" borderId="0" xfId="0" applyFont="1"/>
    <xf numFmtId="0" fontId="1" fillId="0" borderId="0" xfId="0" applyFont="1" applyAlignment="1">
      <alignment wrapText="1"/>
    </xf>
    <xf numFmtId="0" fontId="1" fillId="5" borderId="0" xfId="0" applyFont="1" applyFill="1"/>
    <xf numFmtId="0" fontId="0" fillId="5" borderId="0" xfId="0" applyFill="1"/>
    <xf numFmtId="164" fontId="0" fillId="0" borderId="0" xfId="0" applyNumberFormat="1"/>
    <xf numFmtId="9" fontId="0" fillId="0" borderId="0" xfId="2" applyFont="1"/>
    <xf numFmtId="164" fontId="0" fillId="0" borderId="0" xfId="1" applyNumberFormat="1" applyFont="1" applyFill="1" applyBorder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9" fontId="7" fillId="6" borderId="0" xfId="2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9" fontId="0" fillId="0" borderId="0" xfId="2" applyFont="1" applyAlignment="1">
      <alignment horizontal="center" vertical="center"/>
    </xf>
    <xf numFmtId="165" fontId="0" fillId="0" borderId="0" xfId="2" applyNumberFormat="1" applyFont="1"/>
    <xf numFmtId="166" fontId="0" fillId="0" borderId="0" xfId="2" applyNumberFormat="1" applyFont="1"/>
    <xf numFmtId="165" fontId="3" fillId="4" borderId="0" xfId="0" applyNumberFormat="1" applyFont="1" applyFill="1" applyAlignment="1">
      <alignment horizontal="center" vertical="center"/>
    </xf>
    <xf numFmtId="166" fontId="3" fillId="4" borderId="0" xfId="2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164" fontId="1" fillId="7" borderId="0" xfId="0" applyNumberFormat="1" applyFont="1" applyFill="1" applyAlignment="1">
      <alignment horizontal="center" vertical="center"/>
    </xf>
    <xf numFmtId="167" fontId="1" fillId="7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 wrapText="1"/>
    </xf>
    <xf numFmtId="9" fontId="8" fillId="8" borderId="0" xfId="2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9" fontId="8" fillId="10" borderId="0" xfId="2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9" fontId="8" fillId="11" borderId="0" xfId="2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6" fontId="7" fillId="0" borderId="0" xfId="2" applyNumberFormat="1" applyFont="1" applyFill="1" applyAlignment="1">
      <alignment horizontal="center" vertical="center" wrapText="1"/>
    </xf>
    <xf numFmtId="168" fontId="7" fillId="0" borderId="0" xfId="2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165" fontId="0" fillId="7" borderId="0" xfId="0" applyNumberFormat="1" applyFill="1" applyAlignment="1">
      <alignment horizontal="center" vertical="center"/>
    </xf>
    <xf numFmtId="164" fontId="0" fillId="7" borderId="0" xfId="1" applyNumberFormat="1" applyFont="1" applyFill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164" fontId="0" fillId="0" borderId="0" xfId="1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" fillId="9" borderId="12" xfId="0" applyFont="1" applyFill="1" applyBorder="1" applyAlignment="1">
      <alignment horizontal="center" vertical="center"/>
    </xf>
    <xf numFmtId="165" fontId="1" fillId="7" borderId="12" xfId="0" applyNumberFormat="1" applyFont="1" applyFill="1" applyBorder="1" applyAlignment="1">
      <alignment horizontal="center" vertical="center"/>
    </xf>
    <xf numFmtId="164" fontId="1" fillId="7" borderId="12" xfId="0" applyNumberFormat="1" applyFont="1" applyFill="1" applyBorder="1" applyAlignment="1">
      <alignment horizontal="center" vertical="center"/>
    </xf>
    <xf numFmtId="0" fontId="8" fillId="13" borderId="0" xfId="0" applyFont="1" applyFill="1" applyAlignment="1">
      <alignment horizontal="center" vertical="center" wrapText="1"/>
    </xf>
    <xf numFmtId="9" fontId="8" fillId="13" borderId="0" xfId="2" applyFont="1" applyFill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170" fontId="0" fillId="15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16" borderId="0" xfId="0" applyFont="1" applyFill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172" fontId="0" fillId="7" borderId="0" xfId="1" applyNumberFormat="1" applyFont="1" applyFill="1" applyBorder="1" applyAlignment="1">
      <alignment horizontal="center" vertical="center"/>
    </xf>
    <xf numFmtId="172" fontId="0" fillId="7" borderId="0" xfId="0" applyNumberFormat="1" applyFill="1" applyAlignment="1">
      <alignment horizontal="center" vertical="center"/>
    </xf>
    <xf numFmtId="172" fontId="4" fillId="0" borderId="0" xfId="0" applyNumberFormat="1" applyFont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right" vertical="center"/>
    </xf>
    <xf numFmtId="0" fontId="3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right" vertical="center"/>
    </xf>
    <xf numFmtId="172" fontId="0" fillId="15" borderId="0" xfId="1" applyNumberFormat="1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right" vertical="center"/>
    </xf>
    <xf numFmtId="0" fontId="9" fillId="16" borderId="0" xfId="0" applyFont="1" applyFill="1" applyAlignment="1">
      <alignment horizontal="right" vertical="center"/>
    </xf>
    <xf numFmtId="172" fontId="0" fillId="6" borderId="0" xfId="0" applyNumberFormat="1" applyFill="1" applyAlignment="1">
      <alignment horizontal="center" vertical="center"/>
    </xf>
    <xf numFmtId="172" fontId="1" fillId="7" borderId="0" xfId="1" applyNumberFormat="1" applyFont="1" applyFill="1" applyBorder="1" applyAlignment="1">
      <alignment horizontal="center" vertical="center"/>
    </xf>
    <xf numFmtId="172" fontId="1" fillId="15" borderId="0" xfId="1" applyNumberFormat="1" applyFont="1" applyFill="1" applyBorder="1" applyAlignment="1">
      <alignment horizontal="center" vertical="center"/>
    </xf>
    <xf numFmtId="172" fontId="1" fillId="7" borderId="0" xfId="0" applyNumberFormat="1" applyFont="1" applyFill="1" applyAlignment="1">
      <alignment horizontal="center" vertical="center"/>
    </xf>
    <xf numFmtId="166" fontId="7" fillId="0" borderId="0" xfId="2" applyNumberFormat="1" applyFont="1" applyFill="1" applyAlignment="1">
      <alignment horizontal="center" vertical="center"/>
    </xf>
    <xf numFmtId="3" fontId="9" fillId="16" borderId="0" xfId="0" applyNumberFormat="1" applyFont="1" applyFill="1" applyAlignment="1">
      <alignment vertical="center"/>
    </xf>
    <xf numFmtId="0" fontId="3" fillId="12" borderId="7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 wrapText="1"/>
    </xf>
    <xf numFmtId="0" fontId="3" fillId="16" borderId="0" xfId="0" applyFont="1" applyFill="1" applyAlignment="1">
      <alignment vertical="center"/>
    </xf>
    <xf numFmtId="170" fontId="1" fillId="9" borderId="1" xfId="0" applyNumberFormat="1" applyFont="1" applyFill="1" applyBorder="1" applyAlignment="1">
      <alignment horizontal="center" vertical="center"/>
    </xf>
    <xf numFmtId="164" fontId="1" fillId="9" borderId="0" xfId="1" applyNumberFormat="1" applyFont="1" applyFill="1" applyBorder="1" applyAlignment="1">
      <alignment horizontal="center" vertical="center"/>
    </xf>
    <xf numFmtId="170" fontId="0" fillId="9" borderId="1" xfId="0" applyNumberFormat="1" applyFill="1" applyBorder="1" applyAlignment="1">
      <alignment horizontal="center" vertical="center"/>
    </xf>
    <xf numFmtId="164" fontId="0" fillId="9" borderId="0" xfId="1" applyNumberFormat="1" applyFont="1" applyFill="1" applyBorder="1" applyAlignment="1">
      <alignment horizontal="center" vertical="center"/>
    </xf>
    <xf numFmtId="164" fontId="0" fillId="9" borderId="0" xfId="1" applyNumberFormat="1" applyFont="1" applyFill="1" applyAlignment="1">
      <alignment horizontal="center" vertical="center"/>
    </xf>
    <xf numFmtId="169" fontId="0" fillId="7" borderId="0" xfId="1" applyNumberFormat="1" applyFont="1" applyFill="1" applyBorder="1" applyAlignment="1">
      <alignment horizontal="center" vertical="center"/>
    </xf>
    <xf numFmtId="166" fontId="0" fillId="7" borderId="0" xfId="2" applyNumberFormat="1" applyFont="1" applyFill="1" applyBorder="1" applyAlignment="1">
      <alignment horizontal="center" vertical="center"/>
    </xf>
    <xf numFmtId="165" fontId="0" fillId="7" borderId="0" xfId="2" applyNumberFormat="1" applyFont="1" applyFill="1" applyBorder="1" applyAlignment="1">
      <alignment horizontal="center" vertical="center"/>
    </xf>
    <xf numFmtId="16" fontId="0" fillId="7" borderId="0" xfId="0" applyNumberFormat="1" applyFill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3" fillId="12" borderId="13" xfId="0" applyFont="1" applyFill="1" applyBorder="1" applyAlignment="1">
      <alignment horizontal="center" vertical="center"/>
    </xf>
    <xf numFmtId="0" fontId="3" fillId="12" borderId="6" xfId="0" applyFont="1" applyFill="1" applyBorder="1" applyAlignment="1">
      <alignment vertical="center"/>
    </xf>
    <xf numFmtId="0" fontId="3" fillId="12" borderId="13" xfId="0" applyFont="1" applyFill="1" applyBorder="1" applyAlignment="1">
      <alignment vertical="center"/>
    </xf>
    <xf numFmtId="16" fontId="0" fillId="6" borderId="9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73" fontId="0" fillId="7" borderId="9" xfId="1" applyNumberFormat="1" applyFont="1" applyFill="1" applyBorder="1" applyAlignment="1">
      <alignment horizontal="center" vertical="center"/>
    </xf>
    <xf numFmtId="0" fontId="3" fillId="16" borderId="3" xfId="0" applyFont="1" applyFill="1" applyBorder="1" applyAlignment="1">
      <alignment vertical="center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1" fillId="0" borderId="4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8" fillId="12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8" fillId="13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4" fillId="14" borderId="6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4" fillId="14" borderId="8" xfId="0" applyFont="1" applyFill="1" applyBorder="1" applyAlignment="1">
      <alignment horizontal="center" vertical="center"/>
    </xf>
    <xf numFmtId="0" fontId="4" fillId="14" borderId="9" xfId="0" applyFont="1" applyFill="1" applyBorder="1" applyAlignment="1">
      <alignment horizontal="center" vertical="center"/>
    </xf>
    <xf numFmtId="171" fontId="11" fillId="14" borderId="8" xfId="0" applyNumberFormat="1" applyFont="1" applyFill="1" applyBorder="1" applyAlignment="1">
      <alignment horizontal="center" vertical="center"/>
    </xf>
    <xf numFmtId="171" fontId="11" fillId="14" borderId="9" xfId="0" applyNumberFormat="1" applyFont="1" applyFill="1" applyBorder="1" applyAlignment="1">
      <alignment horizontal="center" vertical="center"/>
    </xf>
    <xf numFmtId="171" fontId="11" fillId="14" borderId="10" xfId="0" applyNumberFormat="1" applyFont="1" applyFill="1" applyBorder="1" applyAlignment="1">
      <alignment horizontal="center" vertical="center"/>
    </xf>
    <xf numFmtId="171" fontId="11" fillId="14" borderId="11" xfId="0" applyNumberFormat="1" applyFont="1" applyFill="1" applyBorder="1" applyAlignment="1">
      <alignment horizontal="center" vertical="center"/>
    </xf>
    <xf numFmtId="166" fontId="11" fillId="14" borderId="8" xfId="2" applyNumberFormat="1" applyFont="1" applyFill="1" applyBorder="1" applyAlignment="1">
      <alignment horizontal="center" vertical="center"/>
    </xf>
    <xf numFmtId="166" fontId="11" fillId="14" borderId="9" xfId="2" applyNumberFormat="1" applyFont="1" applyFill="1" applyBorder="1" applyAlignment="1">
      <alignment horizontal="center" vertical="center"/>
    </xf>
    <xf numFmtId="166" fontId="11" fillId="14" borderId="10" xfId="2" applyNumberFormat="1" applyFont="1" applyFill="1" applyBorder="1" applyAlignment="1">
      <alignment horizontal="center" vertical="center"/>
    </xf>
    <xf numFmtId="166" fontId="11" fillId="14" borderId="1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5" borderId="0" xfId="0" applyFill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9" fillId="16" borderId="0" xfId="0" applyNumberFormat="1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3" fillId="12" borderId="16" xfId="0" applyFont="1" applyFill="1" applyBorder="1" applyAlignment="1">
      <alignment horizontal="center" vertical="center"/>
    </xf>
    <xf numFmtId="0" fontId="3" fillId="12" borderId="17" xfId="0" applyFont="1" applyFill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3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9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P:\FP&amp;A\Special%20Projects\2025\MOD%20Dashboard\Budget%20vs%20Actual\Margin%20Calculation%20for%20Mockup.xlsx" TargetMode="External"/><Relationship Id="rId1" Type="http://schemas.openxmlformats.org/officeDocument/2006/relationships/externalLinkPath" Target="Margin%20Calculation%20for%20Moc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t Margin"/>
      <sheetName val="Data -&gt;"/>
      <sheetName val="Daily Hours"/>
      <sheetName val="Std Cost"/>
    </sheetNames>
    <sheetDataSet>
      <sheetData sheetId="0">
        <row r="11">
          <cell r="C11">
            <v>79000</v>
          </cell>
        </row>
        <row r="24">
          <cell r="C24">
            <v>9693.7671499999997</v>
          </cell>
        </row>
        <row r="26">
          <cell r="C26">
            <v>0.12270591329113924</v>
          </cell>
        </row>
      </sheetData>
      <sheetData sheetId="1"/>
      <sheetData sheetId="2"/>
      <sheetData sheetId="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ziadzio, Kayla" id="{BBF12168-F7EC-44BF-A920-EDD712C8EB38}" userId="S::kdziadzio@alixpartners.com::e88c6a62-7c9e-4c73-97f9-8a931d5482f2" providerId="AD"/>
</personList>
</file>

<file path=xl/theme/theme1.xml><?xml version="1.0" encoding="utf-8"?>
<a:theme xmlns:a="http://schemas.openxmlformats.org/drawingml/2006/main" name="Office Theme">
  <a:themeElements>
    <a:clrScheme name="AlixPartners 2018">
      <a:dk1>
        <a:srgbClr val="383838"/>
      </a:dk1>
      <a:lt1>
        <a:srgbClr val="FFFFFF"/>
      </a:lt1>
      <a:dk2>
        <a:srgbClr val="595959"/>
      </a:dk2>
      <a:lt2>
        <a:srgbClr val="808083"/>
      </a:lt2>
      <a:accent1>
        <a:srgbClr val="032E45"/>
      </a:accent1>
      <a:accent2>
        <a:srgbClr val="006176"/>
      </a:accent2>
      <a:accent3>
        <a:srgbClr val="0696A6"/>
      </a:accent3>
      <a:accent4>
        <a:srgbClr val="77B0BE"/>
      </a:accent4>
      <a:accent5>
        <a:srgbClr val="ADAFB2"/>
      </a:accent5>
      <a:accent6>
        <a:srgbClr val="ECECEE"/>
      </a:accent6>
      <a:hlink>
        <a:srgbClr val="0696A6"/>
      </a:hlink>
      <a:folHlink>
        <a:srgbClr val="0696A6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03-31T14:09:56.87" personId="{BBF12168-F7EC-44BF-A920-EDD712C8EB38}" id="{6802D334-3457-4D35-8063-4E178AA6899A}">
    <text>Budgeted revenue + revenue adjustments</text>
  </threadedComment>
  <threadedComment ref="F4" dT="2026-03-31T14:10:05.71" personId="{BBF12168-F7EC-44BF-A920-EDD712C8EB38}" id="{A480EB65-1572-4F8A-9D3F-AC3464BB9C1E}">
    <text>In tool calculation</text>
  </threadedComment>
  <threadedComment ref="F4" dT="2026-03-31T16:01:28.65" personId="{BBF12168-F7EC-44BF-A920-EDD712C8EB38}" id="{F24B431D-B9A6-42C0-953A-148533C5F287}" parentId="{A480EB65-1572-4F8A-9D3F-AC3464BB9C1E}">
    <text>Ideal hours coefficient (calculated outside of the tools) * actual hours</text>
  </threadedComment>
  <threadedComment ref="I4" dT="2026-03-31T14:10:05.71" personId="{BBF12168-F7EC-44BF-A920-EDD712C8EB38}" id="{07723F6A-2657-4E62-97E3-BCBB5A471A4B}">
    <text>In tool calculation</text>
  </threadedComment>
  <threadedComment ref="I4" dT="2026-03-31T16:01:28.65" personId="{BBF12168-F7EC-44BF-A920-EDD712C8EB38}" id="{7288E640-56C0-4D7D-8AD0-C7972506FAB7}" parentId="{07723F6A-2657-4E62-97E3-BCBB5A471A4B}">
    <text>Ideal hours coefficient (calculated outside of the tools) * actual hours</text>
  </threadedComment>
  <threadedComment ref="L4" dT="2026-03-31T14:10:15.69" personId="{BBF12168-F7EC-44BF-A920-EDD712C8EB38}" id="{1C6452F6-45E0-4E72-A930-0EBB3D373F38}">
    <text>In tool calculation</text>
  </threadedComment>
  <threadedComment ref="G11" dT="2026-03-31T14:10:31.62" personId="{BBF12168-F7EC-44BF-A920-EDD712C8EB38}" id="{67CBAB48-2A6D-4721-A214-5B76C17E60F2}">
    <text>From data lake/budget tool</text>
  </threadedComment>
  <threadedComment ref="G14" dT="2026-03-31T14:10:36.96" personId="{BBF12168-F7EC-44BF-A920-EDD712C8EB38}" id="{D2DD9F85-EB4A-4BD0-971C-E754DBDBF241}">
    <text>From data lake/budget tool</text>
  </threadedComment>
  <threadedComment ref="G17" dT="2026-03-31T14:10:40.28" personId="{BBF12168-F7EC-44BF-A920-EDD712C8EB38}" id="{2289A770-4D66-4A20-B165-F0D580B08FBE}">
    <text>From data lake/budget tool</text>
  </threadedComment>
  <threadedComment ref="B20" dT="2026-03-31T14:09:28.04" personId="{BBF12168-F7EC-44BF-A920-EDD712C8EB38}" id="{47271CA4-CE2A-418C-9041-D64A09E3DC95}">
    <text>All data in this table would come from the data lake/budget tool data</text>
  </threadedComment>
  <threadedComment ref="G20" dT="2026-03-31T14:10:43.46" personId="{BBF12168-F7EC-44BF-A920-EDD712C8EB38}" id="{5894CC28-39B8-4222-B86C-4B9C1F79288A}">
    <text>From data lake/budget tool</text>
  </threadedComment>
  <threadedComment ref="C22" dT="2026-04-21T13:33:26.04" personId="{BBF12168-F7EC-44BF-A920-EDD712C8EB38}" id="{6D3D7097-3087-4DB8-9A4E-49D742DDF3D2}">
    <text>Budget data from EMR</text>
  </threadedComment>
  <threadedComment ref="D22" dT="2026-04-21T13:33:16.76" personId="{BBF12168-F7EC-44BF-A920-EDD712C8EB38}" id="{0E592668-867A-4C66-98DD-B82A41E7C452}">
    <text>LTD Data from EMR, if there is data</text>
  </threadedComment>
  <threadedComment ref="B37" dT="2026-04-02T16:20:00.22" personId="{BBF12168-F7EC-44BF-A920-EDD712C8EB38}" id="{D22AC819-124E-49A9-83CF-E427A32414A1}">
    <text>If the user checks this box, then all TBDs in the tool will show 0 hours in the forecasted periods</text>
  </threadedComment>
  <threadedComment ref="B39" dT="2026-04-02T16:20:00.22" personId="{BBF12168-F7EC-44BF-A920-EDD712C8EB38}" id="{6D51E996-C85C-4FD5-ACAC-7CE97EF3B40B}">
    <text>Pull in all employees and ICs that were in budget + anyone with actuals charged to the engagement</text>
  </threadedComment>
  <threadedComment ref="C39" dT="2026-04-21T13:36:43.00" personId="{BBF12168-F7EC-44BF-A920-EDD712C8EB38}" id="{D0670F34-CCDD-4715-9684-BC0EE2FCF258}">
    <text>Similar to the above box, but it will remove all forecasted hours for this consultant only when checked</text>
  </threadedComment>
  <threadedComment ref="D39" dT="2026-04-22T18:16:21.01" personId="{BBF12168-F7EC-44BF-A920-EDD712C8EB38}" id="{28D29F10-68C3-4307-9256-F276EADBE23A}">
    <text>Can we pull in whatever was typed into the budget tool? If not, we can remove this field.</text>
  </threadedComment>
  <threadedComment ref="I39" dT="2026-03-31T14:17:28.81" personId="{BBF12168-F7EC-44BF-A920-EDD712C8EB38}" id="{8C14FFC5-EB8E-44D5-B175-9EB25D1339BA}">
    <text>Standard Bill rate * project budgeted realization (from budget tool)</text>
  </threadedComment>
  <threadedComment ref="L39" dT="2026-03-31T14:18:31.87" personId="{BBF12168-F7EC-44BF-A920-EDD712C8EB38}" id="{FFDF8C7F-417C-4A3F-8995-840E6E43B896}">
    <text>In tool calculation - hours * standard rate</text>
  </threadedComment>
  <threadedComment ref="M39" dT="2026-03-31T14:18:46.13" personId="{BBF12168-F7EC-44BF-A920-EDD712C8EB38}" id="{4070F59A-364C-432C-BD24-E973A2656FF8}">
    <text>In tool calculation - hours * engagement rate</text>
  </threadedComment>
  <threadedComment ref="O39" dT="2026-03-31T14:18:31.87" personId="{BBF12168-F7EC-44BF-A920-EDD712C8EB38}" id="{403C6EEB-D921-4257-8CE6-CA6A917DDAA3}">
    <text>In tool calculation - hours * standard rate</text>
  </threadedComment>
  <threadedComment ref="P39" dT="2026-03-31T14:18:46.13" personId="{BBF12168-F7EC-44BF-A920-EDD712C8EB38}" id="{19C7B926-34C1-4EC8-ACFC-B5B6F09F59BD}">
    <text>In tool calculation - hours * engagement rate</text>
  </threadedComment>
  <threadedComment ref="R39" dT="2026-03-31T14:18:31.87" personId="{BBF12168-F7EC-44BF-A920-EDD712C8EB38}" id="{6019D402-7F2B-4A89-B1B9-418672D66F9E}">
    <text>In tool calculation - hours * standard rate</text>
  </threadedComment>
  <threadedComment ref="S39" dT="2026-03-31T14:18:46.13" personId="{BBF12168-F7EC-44BF-A920-EDD712C8EB38}" id="{DFA60A93-C246-4F0C-8B77-465FC57AD14B}">
    <text>In tool calculation - hours * engagement rate</text>
  </threadedComment>
  <threadedComment ref="U39" dT="2026-03-31T14:18:31.87" personId="{BBF12168-F7EC-44BF-A920-EDD712C8EB38}" id="{A2BCD779-7CA8-42D6-BB2C-6D2A697D1B89}">
    <text>In tool calculation - hours * standard rate</text>
  </threadedComment>
  <threadedComment ref="V39" dT="2026-03-31T14:18:46.13" personId="{BBF12168-F7EC-44BF-A920-EDD712C8EB38}" id="{90C290F3-E1C2-4B08-93AE-D70011F63F7E}">
    <text>In tool calculation - hours * engagement rate</text>
  </threadedComment>
  <threadedComment ref="B40" dT="2026-03-31T14:15:24.34" personId="{BBF12168-F7EC-44BF-A920-EDD712C8EB38}" id="{D6C12E79-3B62-4AB1-BD31-623A4BB7C749}">
    <text>From data lake/budget tool</text>
  </threadedComment>
  <threadedComment ref="J40" dT="2026-03-31T14:13:02.42" personId="{BBF12168-F7EC-44BF-A920-EDD712C8EB38}" id="{5FC9733D-D190-4C1E-81A6-55B9868B5ED1}">
    <text>Hours from data lake/budget tool</text>
  </threadedComment>
  <threadedComment ref="J41" dT="2026-03-31T14:12:35.90" personId="{BBF12168-F7EC-44BF-A920-EDD712C8EB38}" id="{1AD5D61F-F4CD-467D-808D-6765513AA8CF}">
    <text>Hours from intapp - based on work date</text>
  </threadedComment>
  <threadedComment ref="K41" dT="2026-04-02T16:21:49.25" personId="{BBF12168-F7EC-44BF-A920-EDD712C8EB38}" id="{A17BC179-B032-44EA-875C-D6A45AAA9978}">
    <text>TBDs in the budget will always have 0 hours in actuals, but should still show up so budgeted hours tie</text>
  </threadedComment>
  <threadedComment ref="J42" dT="2026-03-31T14:14:17.13" personId="{BBF12168-F7EC-44BF-A920-EDD712C8EB38}" id="{3EB9BE1A-98C0-43E1-BBC6-320B0D1623EA}">
    <text>Pre-populated with actuals if it is a previous period (prior week or month) and budget if it is not a closed period. If a user has entered a manual adjustment at any point, that should be saved and only over-written by another manual adjustment.</text>
  </threadedComment>
  <threadedComment ref="J42" dT="2026-03-31T14:14:29.72" personId="{BBF12168-F7EC-44BF-A920-EDD712C8EB38}" id="{9947736A-11CE-43FA-906F-2A419014E202}" parentId="{3EB9BE1A-98C0-43E1-BBC6-320B0D1623EA}">
    <text>All of the hour inputs should be able to be edited by the PMD/user</text>
  </threadedComment>
  <threadedComment ref="B44" dT="2026-03-31T14:15:30.03" personId="{BBF12168-F7EC-44BF-A920-EDD712C8EB38}" id="{B6D1CBCB-CB93-445F-9366-E3D13D6583ED}">
    <text>From data lake/budget tool</text>
  </threadedComment>
  <threadedComment ref="J44" dT="2026-03-31T14:13:02.42" personId="{BBF12168-F7EC-44BF-A920-EDD712C8EB38}" id="{8C363953-C194-4E69-8A56-30F7EB6C6B36}">
    <text>Hours from data lake/budget tool</text>
  </threadedComment>
  <threadedComment ref="J45" dT="2026-03-31T14:12:35.90" personId="{BBF12168-F7EC-44BF-A920-EDD712C8EB38}" id="{5C896742-18AA-45E1-A25E-1AAAF7436E21}">
    <text>Hours from intapp - based on work date</text>
  </threadedComment>
  <threadedComment ref="J46" dT="2026-03-31T14:14:17.13" personId="{BBF12168-F7EC-44BF-A920-EDD712C8EB38}" id="{BB2C4338-F2C8-4BFA-BB07-A2923E968F6A}">
    <text>Pre-populated with actuals if it is a previous period (prior week or month) and budget if it is not a closed period. If a user has entered a manual adjustment at any point, that should be saved and only over-written by another manual adjustment.</text>
  </threadedComment>
  <threadedComment ref="J46" dT="2026-03-31T14:14:29.72" personId="{BBF12168-F7EC-44BF-A920-EDD712C8EB38}" id="{EB24B2B5-2AB8-4416-90DC-355DEC86A073}" parentId="{BB2C4338-F2C8-4BFA-BB07-A2923E968F6A}">
    <text>All of the hour inputs should be able to be edited by the PMD/user</text>
  </threadedComment>
  <threadedComment ref="B48" dT="2026-03-31T14:15:34.10" personId="{BBF12168-F7EC-44BF-A920-EDD712C8EB38}" id="{22963190-5E18-4F98-8A72-AF6F68190633}">
    <text>From data lake/budget tool</text>
  </threadedComment>
  <threadedComment ref="J48" dT="2026-03-31T14:13:02.42" personId="{BBF12168-F7EC-44BF-A920-EDD712C8EB38}" id="{58F207BC-2173-4C4D-AA21-41B54B014952}">
    <text>Hours from data lake/budget tool</text>
  </threadedComment>
  <threadedComment ref="J49" dT="2026-03-31T14:12:35.90" personId="{BBF12168-F7EC-44BF-A920-EDD712C8EB38}" id="{51270F90-E83B-4864-9329-402E6F140748}">
    <text>Hours from intapp - based on work date</text>
  </threadedComment>
  <threadedComment ref="J50" dT="2026-03-31T14:14:17.13" personId="{BBF12168-F7EC-44BF-A920-EDD712C8EB38}" id="{3481D16D-BAB3-41C9-B371-9318644A8A3F}">
    <text>Pre-populated with actuals if it is a previous period (prior week or month) and budget if it is not a closed period. If a user has entered a manual adjustment at any point, that should be saved and only over-written by another manual adjustment.</text>
  </threadedComment>
  <threadedComment ref="J50" dT="2026-03-31T14:14:29.72" personId="{BBF12168-F7EC-44BF-A920-EDD712C8EB38}" id="{BA4B2016-0487-4F09-9601-1B7A74CA770E}" parentId="{3481D16D-BAB3-41C9-B371-9318644A8A3F}">
    <text>All of the hour inputs should be able to be edited by the PMD/user</text>
  </threadedComment>
  <threadedComment ref="B52" dT="2026-03-31T14:16:01.96" personId="{BBF12168-F7EC-44BF-A920-EDD712C8EB38}" id="{E0C2C0CE-F58F-4FC6-97DA-95AA6BA46E59}">
    <text>From actuals in data lake (not in original budget, so it won’t show up in the budget tool)</text>
  </threadedComment>
  <threadedComment ref="J52" dT="2026-03-31T14:13:02.42" personId="{BBF12168-F7EC-44BF-A920-EDD712C8EB38}" id="{7B70ED23-77D2-4C82-BAE6-3F341BD6BDAC}">
    <text>Hours from data lake/budget tool</text>
  </threadedComment>
  <threadedComment ref="J52" dT="2026-04-02T16:21:12.76" personId="{BBF12168-F7EC-44BF-A920-EDD712C8EB38}" id="{56BA4F43-5F23-4ED8-9F37-CA3D90C6338D}" parentId="{7B70ED23-77D2-4C82-BAE6-3F341BD6BDAC}">
    <text>This person wasn’t in the original budget, so their budgeted hours will show as 0</text>
  </threadedComment>
  <threadedComment ref="J53" dT="2026-03-31T14:12:35.90" personId="{BBF12168-F7EC-44BF-A920-EDD712C8EB38}" id="{49A6D2A1-6787-4379-BBC5-9F17A3769C67}">
    <text>Hours from intapp - based on work date</text>
  </threadedComment>
  <threadedComment ref="J54" dT="2026-03-31T14:14:17.13" personId="{BBF12168-F7EC-44BF-A920-EDD712C8EB38}" id="{EBF49886-BF32-4B8E-93D2-2D4F3D148435}">
    <text>Pre-populated with actuals if it is a previous period (prior week or month) and budget if it is not a closed period. If a user has entered a manual adjustment at any point, that should be saved and only over-written by another manual adjustment.</text>
  </threadedComment>
  <threadedComment ref="J54" dT="2026-03-31T14:14:29.72" personId="{BBF12168-F7EC-44BF-A920-EDD712C8EB38}" id="{01687D38-2BD8-42B3-994A-D6873409BCC0}" parentId="{EBF49886-BF32-4B8E-93D2-2D4F3D148435}">
    <text>All of the hour inputs should be able to be edited by the PMD/user</text>
  </threadedComment>
  <threadedComment ref="B56" dT="2026-03-31T14:16:01.96" personId="{BBF12168-F7EC-44BF-A920-EDD712C8EB38}" id="{536520B5-A44D-4994-B4EB-380E4404A7FE}">
    <text>Should be able to add additional employees</text>
  </threadedComment>
  <threadedComment ref="F64" dT="2026-04-02T13:55:17.30" personId="{BBF12168-F7EC-44BF-A920-EDD712C8EB38}" id="{D9272A4E-9B41-4706-AD94-723E16471850}">
    <text>From data lake/budget tool</text>
  </threadedComment>
  <threadedComment ref="H64" dT="2026-04-02T13:55:43.98" personId="{BBF12168-F7EC-44BF-A920-EDD712C8EB38}" id="{4285ABA0-61DF-4E23-8287-A2A21AE2B741}">
    <text>Actuals from data lake (if there are any)</text>
  </threadedComment>
  <threadedComment ref="L64" dT="2026-04-02T13:58:29.89" personId="{BBF12168-F7EC-44BF-A920-EDD712C8EB38}" id="{D567A020-663E-4174-9D14-46EF47EF6843}">
    <text>Use budgeted revenue unless there is something in the adjustment, then budgeted revenue + adjustments</text>
  </threadedComment>
  <threadedComment ref="F65" dT="2026-04-02T13:55:27.23" personId="{BBF12168-F7EC-44BF-A920-EDD712C8EB38}" id="{49D5F5A7-959D-4A5A-A0EE-045439FC98BE}">
    <text>From data lake/budget tool</text>
  </threadedComment>
  <threadedComment ref="H65" dT="2026-04-02T13:55:43.98" personId="{BBF12168-F7EC-44BF-A920-EDD712C8EB38}" id="{81F28247-EE27-450E-843A-4388B8D5DDD2}">
    <text>Actuals from data lake (if there are any)</text>
  </threadedComment>
  <threadedComment ref="J65" dT="2026-04-02T13:56:30.88" personId="{BBF12168-F7EC-44BF-A920-EDD712C8EB38}" id="{E783E2D2-E741-4EF3-B658-560C112FC3FB}">
    <text xml:space="preserve">Field able to be edited by user </text>
  </threadedComment>
  <threadedComment ref="L65" dT="2026-04-02T13:59:54.07" personId="{BBF12168-F7EC-44BF-A920-EDD712C8EB38}" id="{3A3E5488-E366-4C48-9E7C-26C4C4D34419}">
    <text>Use budgeted revenue unless there is something in the adjustment, then budgeted revenue + adjustments</text>
  </threadedComment>
  <threadedComment ref="F66" dT="2026-04-02T13:55:30.78" personId="{BBF12168-F7EC-44BF-A920-EDD712C8EB38}" id="{B507C305-E6BF-409C-AACB-A3E2D915B8D7}">
    <text>From data lake/budget tool</text>
  </threadedComment>
  <threadedComment ref="H66" dT="2026-04-02T13:55:43.98" personId="{BBF12168-F7EC-44BF-A920-EDD712C8EB38}" id="{672A3B0F-6B41-4A57-B7D1-093CA8CF89F3}">
    <text>Actuals from data lake (if there are any)</text>
  </threadedComment>
  <threadedComment ref="J66" dT="2026-04-02T13:56:30.88" personId="{BBF12168-F7EC-44BF-A920-EDD712C8EB38}" id="{B1AB43BA-7DC7-4561-B68E-F4F12EF7B8DD}">
    <text xml:space="preserve">Field able to be edited by user </text>
  </threadedComment>
  <threadedComment ref="L66" dT="2026-04-02T13:58:29.89" personId="{BBF12168-F7EC-44BF-A920-EDD712C8EB38}" id="{1D335140-6B43-4238-A596-19B173BFDEB1}">
    <text>Use budgeted revenue unless there is something in the adjustment, then budgeted revenue + adjustments</text>
  </threadedComment>
  <threadedComment ref="F68" dT="2026-04-02T13:55:20.77" personId="{BBF12168-F7EC-44BF-A920-EDD712C8EB38}" id="{11F60A21-1EE5-41D4-BFA5-FE8B844B0C2A}">
    <text>From data lake/budget tool</text>
  </threadedComment>
  <threadedComment ref="H68" dT="2026-04-02T13:55:47.82" personId="{BBF12168-F7EC-44BF-A920-EDD712C8EB38}" id="{757D5D69-8586-4577-BBFF-2D89FBFCF40D}">
    <text>Actuals from data lake (if there are any)</text>
  </threadedComment>
  <threadedComment ref="J68" dT="2026-04-02T13:56:30.88" personId="{BBF12168-F7EC-44BF-A920-EDD712C8EB38}" id="{F7AB545B-2482-4E92-9F4C-59FD73D2233B}">
    <text xml:space="preserve">Field able to be edited by user </text>
  </threadedComment>
  <threadedComment ref="L68" dT="2026-04-02T13:59:58.55" personId="{BBF12168-F7EC-44BF-A920-EDD712C8EB38}" id="{21D96AB0-794A-40B7-86D8-D9A28E4705AD}">
    <text>Use budgeted revenue unless there is something in the adjustment, then budgeted revenue + adjustments</text>
  </threadedComment>
  <threadedComment ref="F70" dT="2026-04-02T13:55:23.94" personId="{BBF12168-F7EC-44BF-A920-EDD712C8EB38}" id="{D04C5E13-8742-46AD-8BDB-CFEF96AEC6B4}">
    <text>From data lake/budget tool</text>
  </threadedComment>
  <threadedComment ref="H70" dT="2026-04-02T13:55:51.38" personId="{BBF12168-F7EC-44BF-A920-EDD712C8EB38}" id="{C85EB72C-57AD-4B1B-8CA5-3DFB81DB1489}">
    <text>Actuals from data lake (if there are any)</text>
  </threadedComment>
  <threadedComment ref="L70" dT="2026-04-02T14:00:01.47" personId="{BBF12168-F7EC-44BF-A920-EDD712C8EB38}" id="{FBC5D44A-1D86-46EC-A7A9-ABE52BEF2273}">
    <text>Use budgeted revenue unless there is something in the adjustment, then budgeted revenue + adjustments</text>
  </threadedComment>
  <threadedComment ref="F71" dT="2026-04-02T13:55:27.23" personId="{BBF12168-F7EC-44BF-A920-EDD712C8EB38}" id="{E35BDBAA-4DC9-4225-9849-8C30C599EAF0}">
    <text>From data lake/budget tool</text>
  </threadedComment>
  <threadedComment ref="H71" dT="2026-04-02T13:56:12.32" personId="{BBF12168-F7EC-44BF-A920-EDD712C8EB38}" id="{E746ACF9-771F-4830-9341-7DC461F2F0D5}">
    <text>This will be grayed out. We can’t get actuals at this level</text>
  </threadedComment>
  <threadedComment ref="J71" dT="2026-04-02T13:56:30.88" personId="{BBF12168-F7EC-44BF-A920-EDD712C8EB38}" id="{ABBB30A9-D98A-4850-A191-B5B2A309AA29}">
    <text xml:space="preserve">Field able to be edited by user </text>
  </threadedComment>
  <threadedComment ref="L71" dT="2026-04-02T14:00:04.57" personId="{BBF12168-F7EC-44BF-A920-EDD712C8EB38}" id="{6CC5C57A-8B55-48D0-9EB1-BD3308EBC2D5}">
    <text>Use budgeted revenue unless there is something in the adjustment, then budgeted revenue + adjustments</text>
  </threadedComment>
  <threadedComment ref="F72" dT="2026-04-02T13:55:30.78" personId="{BBF12168-F7EC-44BF-A920-EDD712C8EB38}" id="{CB4D3BD7-6D47-4335-AFF7-BC7C9D07A3E5}">
    <text>From data lake/budget tool</text>
  </threadedComment>
  <threadedComment ref="H72" dT="2026-04-02T13:56:12.32" personId="{BBF12168-F7EC-44BF-A920-EDD712C8EB38}" id="{CD05BFA4-DDEE-4ACE-8C87-A175B3D9540D}">
    <text>This will be grayed out. We can’t get actuals at this level</text>
  </threadedComment>
  <threadedComment ref="J72" dT="2026-04-02T13:56:30.88" personId="{BBF12168-F7EC-44BF-A920-EDD712C8EB38}" id="{A2E3C0B0-B56B-4AB4-B596-82EE2249C483}">
    <text xml:space="preserve">Field able to be edited by user </text>
  </threadedComment>
  <threadedComment ref="L72" dT="2026-04-02T14:00:10.43" personId="{BBF12168-F7EC-44BF-A920-EDD712C8EB38}" id="{51F7C3FA-BBB3-4F62-82B9-C8EA9E66651C}">
    <text>Use budgeted revenue unless there is something in the adjustment, then budgeted revenue + adjustments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3037-6CF5-4818-AD40-7D8DACB1B860}">
  <dimension ref="A1:V58"/>
  <sheetViews>
    <sheetView workbookViewId="0">
      <selection activeCell="A3" sqref="A3"/>
    </sheetView>
  </sheetViews>
  <sheetFormatPr defaultRowHeight="14.75" x14ac:dyDescent="0.75"/>
  <cols>
    <col min="1" max="2" width="22.40625" customWidth="1"/>
    <col min="3" max="3" width="12.54296875" bestFit="1" customWidth="1"/>
    <col min="4" max="4" width="11.86328125" customWidth="1"/>
    <col min="5" max="5" width="11.54296875" bestFit="1" customWidth="1"/>
    <col min="6" max="6" width="12.54296875" bestFit="1" customWidth="1"/>
    <col min="7" max="7" width="11.86328125" customWidth="1"/>
    <col min="9" max="9" width="13" customWidth="1"/>
    <col min="10" max="10" width="11.54296875" bestFit="1" customWidth="1"/>
    <col min="13" max="13" width="12.54296875" bestFit="1" customWidth="1"/>
    <col min="14" max="14" width="14.54296875" bestFit="1" customWidth="1"/>
    <col min="15" max="15" width="13.40625" bestFit="1" customWidth="1"/>
    <col min="16" max="16" width="16.54296875" bestFit="1" customWidth="1"/>
    <col min="17" max="17" width="11.40625" bestFit="1" customWidth="1"/>
    <col min="18" max="18" width="14.54296875" bestFit="1" customWidth="1"/>
    <col min="19" max="23" width="19.1328125" customWidth="1"/>
  </cols>
  <sheetData>
    <row r="1" spans="1:22" ht="33.75" customHeight="1" x14ac:dyDescent="1.3">
      <c r="A1" s="109" t="s">
        <v>0</v>
      </c>
      <c r="B1" s="109"/>
      <c r="C1" s="111"/>
      <c r="D1" s="111"/>
      <c r="E1" s="111"/>
      <c r="F1" s="111"/>
      <c r="G1" s="111"/>
      <c r="H1" s="111"/>
      <c r="I1" s="111"/>
      <c r="J1" s="111"/>
      <c r="K1" s="111"/>
      <c r="L1" s="16"/>
      <c r="M1" s="19" t="s">
        <v>1</v>
      </c>
      <c r="N1" s="19"/>
      <c r="O1" s="20" t="s">
        <v>2</v>
      </c>
      <c r="P1" s="17">
        <f>C2/SUM(Q3:Q5)</f>
        <v>1.3557483731019522</v>
      </c>
      <c r="Q1" s="20" t="s">
        <v>3</v>
      </c>
      <c r="R1" s="17">
        <f>C2/SUM(R3:R5)</f>
        <v>0.8437394532568343</v>
      </c>
      <c r="S1" s="20" t="s">
        <v>42</v>
      </c>
      <c r="T1" s="20" t="s">
        <v>43</v>
      </c>
      <c r="U1" s="20" t="s">
        <v>46</v>
      </c>
      <c r="V1" s="20" t="s">
        <v>47</v>
      </c>
    </row>
    <row r="2" spans="1:22" x14ac:dyDescent="0.75">
      <c r="A2" t="s">
        <v>4</v>
      </c>
      <c r="B2" t="s">
        <v>5</v>
      </c>
      <c r="C2" s="4">
        <v>100000</v>
      </c>
      <c r="M2" s="21" t="s">
        <v>6</v>
      </c>
      <c r="N2" s="21" t="s">
        <v>7</v>
      </c>
      <c r="O2" s="21" t="s">
        <v>41</v>
      </c>
      <c r="P2" s="21" t="s">
        <v>8</v>
      </c>
      <c r="Q2" s="21" t="s">
        <v>9</v>
      </c>
      <c r="R2" s="21" t="s">
        <v>10</v>
      </c>
      <c r="S2" s="27">
        <f>(O4+O5)/O3</f>
        <v>11.666666666666666</v>
      </c>
      <c r="T2" s="27">
        <f>(O4+P4+O5+P5)/(O3+P3)</f>
        <v>10.7</v>
      </c>
      <c r="U2" s="28">
        <f>(O5)/SUM(O3:O5)</f>
        <v>0.65789473684210531</v>
      </c>
      <c r="V2" s="28">
        <f>(O5+P5)/SUM(O3:P5)</f>
        <v>0.62393162393162394</v>
      </c>
    </row>
    <row r="3" spans="1:22" x14ac:dyDescent="0.75">
      <c r="B3" t="s">
        <v>11</v>
      </c>
      <c r="C3" s="12">
        <f>C2/I15</f>
        <v>0.8437394532568343</v>
      </c>
      <c r="M3" s="22" t="s">
        <v>12</v>
      </c>
      <c r="N3" s="18">
        <f>SUM(D25:D26)</f>
        <v>20</v>
      </c>
      <c r="O3" s="18">
        <v>12</v>
      </c>
      <c r="P3" s="18">
        <f>N3-O3</f>
        <v>8</v>
      </c>
      <c r="Q3" s="23">
        <f>C12*O3</f>
        <v>11760</v>
      </c>
      <c r="R3" s="23">
        <f>C12*(O3+P3)</f>
        <v>19600</v>
      </c>
      <c r="S3" s="18"/>
      <c r="T3" s="23"/>
    </row>
    <row r="4" spans="1:22" x14ac:dyDescent="0.75">
      <c r="B4" t="s">
        <v>44</v>
      </c>
      <c r="C4" s="25">
        <f>SUM(E11,H11,E13,H13)/SUM(E12,H12)</f>
        <v>10.7</v>
      </c>
      <c r="M4" s="22" t="s">
        <v>14</v>
      </c>
      <c r="N4" s="18">
        <f>SUM(D23:D24)</f>
        <v>68</v>
      </c>
      <c r="O4" s="18">
        <v>40</v>
      </c>
      <c r="P4" s="18">
        <f>N4-O4</f>
        <v>28</v>
      </c>
      <c r="Q4" s="23">
        <f>C11*O4</f>
        <v>35000</v>
      </c>
      <c r="R4" s="23">
        <f>C11*(O4+P4)</f>
        <v>59500</v>
      </c>
      <c r="S4" s="18"/>
      <c r="T4" s="23"/>
    </row>
    <row r="5" spans="1:22" x14ac:dyDescent="0.75">
      <c r="B5" t="s">
        <v>45</v>
      </c>
      <c r="C5" s="26">
        <f>(E13+H13)/SUM(E11:E13,H11:H13)</f>
        <v>0.62393162393162394</v>
      </c>
      <c r="M5" s="22" t="s">
        <v>16</v>
      </c>
      <c r="N5" s="18">
        <f>SUM(D27:D28)</f>
        <v>146</v>
      </c>
      <c r="O5" s="18">
        <v>100</v>
      </c>
      <c r="P5" s="18">
        <f>IF((N5-O5) &lt; 0, 0,(N5-O5))</f>
        <v>46</v>
      </c>
      <c r="Q5" s="23">
        <f>C13*O5</f>
        <v>27000</v>
      </c>
      <c r="R5" s="23">
        <f>C13*(O5+P5)</f>
        <v>39420</v>
      </c>
      <c r="S5" s="18"/>
      <c r="T5" s="23"/>
    </row>
    <row r="6" spans="1:22" x14ac:dyDescent="0.75">
      <c r="A6" t="s">
        <v>13</v>
      </c>
      <c r="B6" s="1">
        <v>45748</v>
      </c>
      <c r="D6" s="1"/>
      <c r="M6" s="18"/>
      <c r="N6" s="18"/>
      <c r="O6" s="18"/>
      <c r="P6" s="18"/>
      <c r="Q6" s="18"/>
      <c r="R6" s="18"/>
      <c r="S6" s="18"/>
      <c r="T6" s="18"/>
    </row>
    <row r="7" spans="1:22" x14ac:dyDescent="0.75">
      <c r="A7" t="s">
        <v>15</v>
      </c>
      <c r="B7" s="1">
        <v>45808</v>
      </c>
      <c r="D7" s="1"/>
      <c r="M7" s="18"/>
      <c r="N7" s="18"/>
      <c r="O7" s="18"/>
      <c r="P7" s="22"/>
      <c r="Q7" s="24"/>
      <c r="R7" s="18"/>
      <c r="S7" s="18"/>
      <c r="T7" s="24"/>
    </row>
    <row r="8" spans="1:22" ht="32" x14ac:dyDescent="0.75">
      <c r="A8" t="s">
        <v>17</v>
      </c>
      <c r="B8" t="s">
        <v>18</v>
      </c>
      <c r="M8" s="19" t="s">
        <v>25</v>
      </c>
      <c r="N8" s="19"/>
      <c r="O8" s="20" t="s">
        <v>2</v>
      </c>
      <c r="P8" s="17">
        <f>C2/SUM(Q10:Q12)</f>
        <v>0.91642228739002929</v>
      </c>
      <c r="Q8" s="20" t="s">
        <v>3</v>
      </c>
      <c r="R8" s="17">
        <f>C2/SUM(R10:R12)</f>
        <v>0.78976465013426</v>
      </c>
      <c r="S8" s="20" t="s">
        <v>42</v>
      </c>
      <c r="T8" s="20" t="s">
        <v>43</v>
      </c>
      <c r="U8" s="20" t="s">
        <v>46</v>
      </c>
      <c r="V8" s="20" t="s">
        <v>47</v>
      </c>
    </row>
    <row r="9" spans="1:22" x14ac:dyDescent="0.75">
      <c r="E9" s="107" t="s">
        <v>19</v>
      </c>
      <c r="F9" s="108"/>
      <c r="G9" s="110"/>
      <c r="H9" s="107" t="s">
        <v>20</v>
      </c>
      <c r="I9" s="108"/>
      <c r="J9" s="108"/>
      <c r="M9" s="21" t="s">
        <v>6</v>
      </c>
      <c r="N9" s="21" t="s">
        <v>7</v>
      </c>
      <c r="O9" s="21" t="s">
        <v>41</v>
      </c>
      <c r="P9" s="21" t="s">
        <v>8</v>
      </c>
      <c r="Q9" s="21" t="s">
        <v>9</v>
      </c>
      <c r="R9" s="21" t="s">
        <v>10</v>
      </c>
      <c r="S9" s="27">
        <f>(O11+O12)/O10</f>
        <v>11.2</v>
      </c>
      <c r="T9" s="27">
        <f>(O11+P11+O12+P12)/(O10+P10)</f>
        <v>12.2</v>
      </c>
      <c r="U9" s="28">
        <f>(O12)/SUM(O10:O12)</f>
        <v>0.72131147540983609</v>
      </c>
      <c r="V9" s="28">
        <f>(O12+P12)/SUM(O10:P12)</f>
        <v>0.66666666666666663</v>
      </c>
    </row>
    <row r="10" spans="1:22" x14ac:dyDescent="0.75">
      <c r="B10" s="5" t="s">
        <v>6</v>
      </c>
      <c r="C10" s="5" t="s">
        <v>21</v>
      </c>
      <c r="D10" s="9" t="s">
        <v>22</v>
      </c>
      <c r="E10" s="6" t="s">
        <v>23</v>
      </c>
      <c r="F10" s="5" t="s">
        <v>9</v>
      </c>
      <c r="G10" s="5" t="s">
        <v>24</v>
      </c>
      <c r="H10" s="6" t="s">
        <v>23</v>
      </c>
      <c r="I10" s="5" t="s">
        <v>9</v>
      </c>
      <c r="J10" s="5" t="s">
        <v>24</v>
      </c>
      <c r="M10" s="22" t="s">
        <v>12</v>
      </c>
      <c r="N10" s="18">
        <f>SUM(D25:D26)</f>
        <v>20</v>
      </c>
      <c r="O10" s="18">
        <f>SUM(C25:C26)</f>
        <v>20</v>
      </c>
      <c r="P10" s="18">
        <f>N10-O10</f>
        <v>0</v>
      </c>
      <c r="Q10" s="23">
        <f>C12*O10</f>
        <v>19600</v>
      </c>
      <c r="R10" s="23">
        <f>C12*(O10+P10)</f>
        <v>19600</v>
      </c>
      <c r="S10" s="18"/>
      <c r="T10" s="23"/>
    </row>
    <row r="11" spans="1:22" x14ac:dyDescent="0.75">
      <c r="A11" t="s">
        <v>26</v>
      </c>
      <c r="B11" t="s">
        <v>14</v>
      </c>
      <c r="C11">
        <v>875</v>
      </c>
      <c r="D11" s="10">
        <v>725</v>
      </c>
      <c r="E11" s="2">
        <v>40</v>
      </c>
      <c r="F11" s="3">
        <f>C11*E11</f>
        <v>35000</v>
      </c>
      <c r="G11" s="4">
        <f>E11*D11</f>
        <v>29000</v>
      </c>
      <c r="H11" s="2">
        <v>28</v>
      </c>
      <c r="I11" s="3">
        <f>H11*C11</f>
        <v>24500</v>
      </c>
      <c r="J11" s="4">
        <f>H11*D11</f>
        <v>20300</v>
      </c>
      <c r="M11" s="22" t="s">
        <v>14</v>
      </c>
      <c r="N11" s="18">
        <f>SUM(D23:D24)</f>
        <v>68</v>
      </c>
      <c r="O11" s="18">
        <f>SUM(C23:C24)</f>
        <v>48</v>
      </c>
      <c r="P11" s="18">
        <f>N11-O11</f>
        <v>20</v>
      </c>
      <c r="Q11" s="23">
        <f>O11*C11</f>
        <v>42000</v>
      </c>
      <c r="R11" s="23">
        <f>C11*(O11+P11)</f>
        <v>59500</v>
      </c>
      <c r="S11" s="18"/>
      <c r="T11" s="23"/>
    </row>
    <row r="12" spans="1:22" x14ac:dyDescent="0.75">
      <c r="A12" t="s">
        <v>27</v>
      </c>
      <c r="B12" t="s">
        <v>12</v>
      </c>
      <c r="C12">
        <v>980</v>
      </c>
      <c r="D12" s="10">
        <v>875</v>
      </c>
      <c r="E12" s="2">
        <v>12</v>
      </c>
      <c r="F12" s="3">
        <f>C12*E12</f>
        <v>11760</v>
      </c>
      <c r="G12" s="4">
        <f t="shared" ref="G12:G13" si="0">E12*D12</f>
        <v>10500</v>
      </c>
      <c r="H12" s="2">
        <v>8</v>
      </c>
      <c r="I12" s="3">
        <f t="shared" ref="I12:I13" si="1">H12*C12</f>
        <v>7840</v>
      </c>
      <c r="J12" s="4">
        <f t="shared" ref="J12:J13" si="2">H12*D12</f>
        <v>7000</v>
      </c>
      <c r="M12" s="22" t="s">
        <v>16</v>
      </c>
      <c r="N12" s="18">
        <f>SUM(D27:D28)</f>
        <v>146</v>
      </c>
      <c r="O12" s="18">
        <f>SUM(C27:C28)</f>
        <v>176</v>
      </c>
      <c r="P12" s="18">
        <f>IF((N12-O12) &lt; 0, 0,(N12-O12))</f>
        <v>0</v>
      </c>
      <c r="Q12" s="23">
        <f>O12*C13</f>
        <v>47520</v>
      </c>
      <c r="R12" s="23">
        <f>C13*(O12+P12)</f>
        <v>47520</v>
      </c>
      <c r="S12" s="18"/>
      <c r="T12" s="23"/>
    </row>
    <row r="13" spans="1:22" x14ac:dyDescent="0.75">
      <c r="A13" t="s">
        <v>28</v>
      </c>
      <c r="B13" t="s">
        <v>16</v>
      </c>
      <c r="C13">
        <v>270</v>
      </c>
      <c r="D13" s="10">
        <v>250</v>
      </c>
      <c r="E13" s="2">
        <v>96</v>
      </c>
      <c r="F13" s="3">
        <f>C13*E13</f>
        <v>25920</v>
      </c>
      <c r="G13" s="4">
        <f t="shared" si="0"/>
        <v>24000</v>
      </c>
      <c r="H13" s="2">
        <v>50</v>
      </c>
      <c r="I13" s="3">
        <f t="shared" si="1"/>
        <v>13500</v>
      </c>
      <c r="J13" s="4">
        <f t="shared" si="2"/>
        <v>12500</v>
      </c>
    </row>
    <row r="15" spans="1:22" x14ac:dyDescent="0.75">
      <c r="B15" s="7"/>
      <c r="C15" s="7"/>
      <c r="D15" s="7"/>
      <c r="E15" s="7"/>
      <c r="F15" s="7"/>
      <c r="G15" s="7"/>
      <c r="H15" t="s">
        <v>29</v>
      </c>
      <c r="I15" s="11">
        <f>SUM(F11:F13,I11:I13)</f>
        <v>118520</v>
      </c>
      <c r="J15" s="7"/>
    </row>
    <row r="16" spans="1:22" x14ac:dyDescent="0.75">
      <c r="F16" s="13"/>
      <c r="G16" s="13"/>
      <c r="J16" s="13"/>
    </row>
    <row r="17" spans="1:12" x14ac:dyDescent="0.75">
      <c r="F17" s="13"/>
      <c r="G17" s="13"/>
      <c r="I17" s="13"/>
      <c r="J17" s="13"/>
    </row>
    <row r="18" spans="1:12" x14ac:dyDescent="0.75">
      <c r="F18" s="13"/>
      <c r="G18" s="13"/>
      <c r="I18" s="13"/>
      <c r="J18" s="13"/>
    </row>
    <row r="20" spans="1:12" ht="34.5" customHeight="1" x14ac:dyDescent="1.3">
      <c r="A20" s="109" t="s">
        <v>30</v>
      </c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4"/>
    </row>
    <row r="21" spans="1:12" ht="19.5" customHeight="1" x14ac:dyDescent="0.75">
      <c r="A21" s="106" t="s">
        <v>31</v>
      </c>
      <c r="B21" s="106"/>
      <c r="C21" s="106"/>
      <c r="D21" s="106"/>
      <c r="E21" s="106"/>
      <c r="F21" s="106"/>
      <c r="G21" s="106"/>
      <c r="H21" s="106"/>
      <c r="I21" s="106"/>
      <c r="J21" s="106"/>
      <c r="K21" s="106"/>
      <c r="L21" s="15"/>
    </row>
    <row r="22" spans="1:12" ht="33.75" customHeight="1" x14ac:dyDescent="0.75">
      <c r="A22" s="7" t="s">
        <v>32</v>
      </c>
      <c r="B22" s="7" t="s">
        <v>17</v>
      </c>
      <c r="C22" s="8" t="s">
        <v>33</v>
      </c>
      <c r="D22" s="8" t="s">
        <v>34</v>
      </c>
      <c r="E22" s="8" t="s">
        <v>35</v>
      </c>
      <c r="F22" s="8" t="s">
        <v>36</v>
      </c>
    </row>
    <row r="23" spans="1:12" x14ac:dyDescent="0.75">
      <c r="A23" t="s">
        <v>14</v>
      </c>
      <c r="B23" s="1">
        <v>45777</v>
      </c>
      <c r="C23">
        <v>40</v>
      </c>
      <c r="D23">
        <v>40</v>
      </c>
      <c r="E23" s="4">
        <f>$C$11*C23</f>
        <v>35000</v>
      </c>
      <c r="F23" s="4">
        <f>$C$11*D23</f>
        <v>35000</v>
      </c>
    </row>
    <row r="24" spans="1:12" x14ac:dyDescent="0.75">
      <c r="A24" t="s">
        <v>14</v>
      </c>
      <c r="B24" s="1">
        <v>45792</v>
      </c>
      <c r="C24">
        <v>8</v>
      </c>
      <c r="D24">
        <v>28</v>
      </c>
      <c r="E24" s="4">
        <f>$C$11*C24</f>
        <v>7000</v>
      </c>
      <c r="F24" s="4">
        <f>$C$11*D24</f>
        <v>24500</v>
      </c>
    </row>
    <row r="25" spans="1:12" x14ac:dyDescent="0.75">
      <c r="A25" t="s">
        <v>12</v>
      </c>
      <c r="B25" s="1">
        <v>45777</v>
      </c>
      <c r="C25">
        <v>12</v>
      </c>
      <c r="D25">
        <v>12</v>
      </c>
      <c r="E25" s="4">
        <f>$C$12*C25</f>
        <v>11760</v>
      </c>
      <c r="F25" s="4">
        <f>$C$12*D25</f>
        <v>11760</v>
      </c>
    </row>
    <row r="26" spans="1:12" x14ac:dyDescent="0.75">
      <c r="A26" t="s">
        <v>12</v>
      </c>
      <c r="B26" s="1">
        <v>45792</v>
      </c>
      <c r="C26">
        <v>8</v>
      </c>
      <c r="D26">
        <v>8</v>
      </c>
      <c r="E26" s="4">
        <f>$C$12*C26</f>
        <v>7840</v>
      </c>
      <c r="F26" s="4">
        <f>$C$12*D26</f>
        <v>7840</v>
      </c>
    </row>
    <row r="27" spans="1:12" x14ac:dyDescent="0.75">
      <c r="A27" t="s">
        <v>16</v>
      </c>
      <c r="B27" s="1">
        <v>45777</v>
      </c>
      <c r="C27">
        <v>96</v>
      </c>
      <c r="D27">
        <v>96</v>
      </c>
      <c r="E27" s="4">
        <f>$C$13*C27</f>
        <v>25920</v>
      </c>
      <c r="F27" s="4">
        <f>$C$13*D27</f>
        <v>25920</v>
      </c>
    </row>
    <row r="28" spans="1:12" x14ac:dyDescent="0.75">
      <c r="A28" t="s">
        <v>16</v>
      </c>
      <c r="B28" s="1">
        <v>45792</v>
      </c>
      <c r="C28">
        <v>80</v>
      </c>
      <c r="D28">
        <v>50</v>
      </c>
      <c r="E28" s="4">
        <f>$C$13*C28</f>
        <v>21600</v>
      </c>
      <c r="F28" s="4">
        <f>$C$13*D28</f>
        <v>13500</v>
      </c>
    </row>
    <row r="58" spans="2:2" x14ac:dyDescent="0.75">
      <c r="B58" t="s">
        <v>37</v>
      </c>
    </row>
  </sheetData>
  <mergeCells count="5">
    <mergeCell ref="A21:K21"/>
    <mergeCell ref="H9:J9"/>
    <mergeCell ref="A20:K20"/>
    <mergeCell ref="E9:G9"/>
    <mergeCell ref="A1:K1"/>
  </mergeCells>
  <pageMargins left="0.7" right="0.7" top="0.75" bottom="0.75" header="0.3" footer="0.3"/>
  <pageSetup orientation="portrait" horizontalDpi="1200" verticalDpi="1200" r:id="rId1"/>
  <headerFooter>
    <oddFooter>&amp;L_x000D_&amp;1#&amp;"Calibri"&amp;10&amp;K000000 AlixPartners Confidential</oddFooter>
  </headerFooter>
  <customProperties>
    <customPr name="_pios_id" r:id="rId2"/>
  </customProperties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7EF28-F3BC-4980-BAEE-78FEB9D506A7}">
  <dimension ref="B1:V76"/>
  <sheetViews>
    <sheetView showGridLines="0" tabSelected="1" topLeftCell="B1" zoomScale="70" zoomScaleNormal="70" workbookViewId="0">
      <selection activeCell="B2" sqref="B2"/>
    </sheetView>
  </sheetViews>
  <sheetFormatPr defaultColWidth="8.86328125" defaultRowHeight="14.75" x14ac:dyDescent="0.75"/>
  <cols>
    <col min="1" max="1" width="1.1328125" style="18" customWidth="1"/>
    <col min="2" max="2" width="29.26953125" style="18" bestFit="1" customWidth="1"/>
    <col min="3" max="4" width="19" style="18" customWidth="1"/>
    <col min="5" max="5" width="23" style="18" customWidth="1"/>
    <col min="6" max="6" width="20" style="18" customWidth="1"/>
    <col min="7" max="22" width="24.86328125" style="18" customWidth="1"/>
    <col min="23" max="29" width="11.54296875" style="18" customWidth="1"/>
    <col min="30" max="30" width="8.86328125" style="18"/>
    <col min="31" max="31" width="20.86328125" style="18" bestFit="1" customWidth="1"/>
    <col min="32" max="16384" width="8.86328125" style="18"/>
  </cols>
  <sheetData>
    <row r="1" spans="2:18" ht="6" customHeight="1" thickBot="1" x14ac:dyDescent="0.9"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2:18" ht="15.65" customHeight="1" x14ac:dyDescent="0.75">
      <c r="B2" s="39" t="s">
        <v>37</v>
      </c>
      <c r="C2" s="121" t="s">
        <v>63</v>
      </c>
      <c r="D2" s="122"/>
      <c r="F2" s="121" t="s">
        <v>106</v>
      </c>
      <c r="G2" s="122"/>
      <c r="I2" s="121" t="s">
        <v>64</v>
      </c>
      <c r="J2" s="122"/>
      <c r="K2" s="64"/>
      <c r="L2" s="121" t="s">
        <v>62</v>
      </c>
      <c r="M2" s="122"/>
    </row>
    <row r="3" spans="2:18" ht="15.65" customHeight="1" x14ac:dyDescent="0.75">
      <c r="B3" s="39"/>
      <c r="C3" s="123"/>
      <c r="D3" s="124"/>
      <c r="F3" s="123"/>
      <c r="G3" s="124"/>
      <c r="I3" s="123"/>
      <c r="J3" s="124"/>
      <c r="K3" s="63"/>
      <c r="L3" s="123"/>
      <c r="M3" s="124"/>
    </row>
    <row r="4" spans="2:18" ht="15.65" customHeight="1" x14ac:dyDescent="0.75">
      <c r="B4" s="39"/>
      <c r="C4" s="125">
        <f>L64/1000</f>
        <v>70</v>
      </c>
      <c r="D4" s="126"/>
      <c r="F4" s="125">
        <f>'[1]Est Margin'!$C$11/1000</f>
        <v>79</v>
      </c>
      <c r="G4" s="126"/>
      <c r="I4" s="125">
        <f>'[1]Est Margin'!$C$24/1000</f>
        <v>9.6937671499999993</v>
      </c>
      <c r="J4" s="126"/>
      <c r="K4" s="63"/>
      <c r="L4" s="129">
        <f>'[1]Est Margin'!$C$26</f>
        <v>0.12270591329113924</v>
      </c>
      <c r="M4" s="130"/>
    </row>
    <row r="5" spans="2:18" ht="15.65" customHeight="1" x14ac:dyDescent="0.75">
      <c r="B5" s="39"/>
      <c r="C5" s="125"/>
      <c r="D5" s="126"/>
      <c r="F5" s="125"/>
      <c r="G5" s="126"/>
      <c r="I5" s="125"/>
      <c r="J5" s="126"/>
      <c r="K5" s="63"/>
      <c r="L5" s="129"/>
      <c r="M5" s="130"/>
    </row>
    <row r="6" spans="2:18" ht="15.65" customHeight="1" x14ac:dyDescent="0.75">
      <c r="B6" s="39"/>
      <c r="C6" s="125"/>
      <c r="D6" s="126"/>
      <c r="F6" s="125"/>
      <c r="G6" s="126"/>
      <c r="I6" s="125"/>
      <c r="J6" s="126"/>
      <c r="K6" s="63"/>
      <c r="L6" s="129"/>
      <c r="M6" s="130"/>
    </row>
    <row r="7" spans="2:18" ht="15.65" customHeight="1" thickBot="1" x14ac:dyDescent="0.9">
      <c r="B7" s="39"/>
      <c r="C7" s="127"/>
      <c r="D7" s="128"/>
      <c r="F7" s="127"/>
      <c r="G7" s="128"/>
      <c r="I7" s="127"/>
      <c r="J7" s="128"/>
      <c r="K7" s="63"/>
      <c r="L7" s="131"/>
      <c r="M7" s="132"/>
    </row>
    <row r="8" spans="2:18" ht="6" customHeight="1" x14ac:dyDescent="0.75"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</row>
    <row r="9" spans="2:18" ht="15.65" customHeight="1" x14ac:dyDescent="0.75">
      <c r="B9" s="39"/>
      <c r="F9" s="113" t="s">
        <v>70</v>
      </c>
      <c r="G9" s="117" t="s">
        <v>60</v>
      </c>
      <c r="H9" s="117"/>
      <c r="I9" s="117"/>
    </row>
    <row r="10" spans="2:18" ht="15.65" customHeight="1" x14ac:dyDescent="0.75">
      <c r="B10" s="39"/>
      <c r="F10" s="113"/>
      <c r="G10" s="61" t="s">
        <v>0</v>
      </c>
      <c r="H10" s="61" t="s">
        <v>69</v>
      </c>
      <c r="I10" s="62" t="s">
        <v>59</v>
      </c>
    </row>
    <row r="11" spans="2:18" ht="15.65" customHeight="1" x14ac:dyDescent="0.75">
      <c r="B11" s="39"/>
      <c r="F11" s="113"/>
      <c r="G11" s="84">
        <f>C24</f>
        <v>0.14699999999999999</v>
      </c>
      <c r="H11" s="84">
        <f>L4</f>
        <v>0.12270591329113924</v>
      </c>
      <c r="I11" s="42">
        <f>(H11-G11)*100</f>
        <v>-2.4294086708860756</v>
      </c>
    </row>
    <row r="12" spans="2:18" ht="15.65" customHeight="1" x14ac:dyDescent="0.75">
      <c r="B12" s="39"/>
      <c r="F12" s="113"/>
      <c r="G12" s="118" t="s">
        <v>11</v>
      </c>
      <c r="H12" s="118"/>
      <c r="I12" s="118"/>
    </row>
    <row r="13" spans="2:18" ht="15.65" customHeight="1" x14ac:dyDescent="0.75">
      <c r="B13" s="39"/>
      <c r="F13" s="113"/>
      <c r="G13" s="33" t="s">
        <v>0</v>
      </c>
      <c r="H13" s="33" t="s">
        <v>69</v>
      </c>
      <c r="I13" s="34" t="s">
        <v>59</v>
      </c>
    </row>
    <row r="14" spans="2:18" ht="15.65" customHeight="1" x14ac:dyDescent="0.75">
      <c r="B14" s="39"/>
      <c r="F14" s="113"/>
      <c r="G14" s="84">
        <f>C25</f>
        <v>0.94299999999999995</v>
      </c>
      <c r="H14" s="84">
        <f>V61/U61</f>
        <v>0.94300000000000006</v>
      </c>
      <c r="I14" s="42">
        <f>(H14-G14)*100</f>
        <v>1.1102230246251565E-14</v>
      </c>
    </row>
    <row r="15" spans="2:18" ht="15.65" customHeight="1" x14ac:dyDescent="0.75">
      <c r="B15" s="39"/>
      <c r="F15" s="113"/>
      <c r="G15" s="119" t="s">
        <v>48</v>
      </c>
      <c r="H15" s="119"/>
      <c r="I15" s="119"/>
      <c r="J15" s="40"/>
      <c r="K15" s="40"/>
      <c r="L15" s="40"/>
      <c r="M15" s="40"/>
      <c r="N15" s="40"/>
      <c r="O15" s="40"/>
      <c r="P15" s="40"/>
      <c r="Q15" s="40"/>
      <c r="R15" s="42"/>
    </row>
    <row r="16" spans="2:18" ht="15.65" customHeight="1" x14ac:dyDescent="0.75">
      <c r="B16" s="39"/>
      <c r="F16" s="113"/>
      <c r="G16" s="35" t="s">
        <v>0</v>
      </c>
      <c r="H16" s="35" t="s">
        <v>69</v>
      </c>
      <c r="I16" s="36" t="s">
        <v>59</v>
      </c>
      <c r="J16" s="40"/>
      <c r="K16" s="40"/>
      <c r="L16" s="40"/>
      <c r="M16" s="40"/>
      <c r="N16" s="40"/>
      <c r="O16" s="40"/>
      <c r="P16" s="40"/>
      <c r="Q16" s="40"/>
      <c r="R16" s="42"/>
    </row>
    <row r="17" spans="2:19" ht="15.65" customHeight="1" x14ac:dyDescent="0.75">
      <c r="B17" s="39"/>
      <c r="F17" s="113"/>
      <c r="G17" s="40">
        <f>C26</f>
        <v>8.9</v>
      </c>
      <c r="H17" s="40">
        <f>(T50+T54)/T46</f>
        <v>8.0294117647058822</v>
      </c>
      <c r="I17" s="40">
        <f>H17-G17</f>
        <v>-0.87058823529411811</v>
      </c>
      <c r="J17" s="40"/>
      <c r="K17" s="40"/>
      <c r="L17" s="40"/>
      <c r="M17" s="40"/>
      <c r="N17" s="40"/>
      <c r="O17" s="40"/>
      <c r="P17" s="40"/>
      <c r="Q17" s="40"/>
      <c r="R17" s="42"/>
    </row>
    <row r="18" spans="2:19" ht="15.65" customHeight="1" x14ac:dyDescent="0.75">
      <c r="B18" s="39"/>
      <c r="F18" s="113"/>
      <c r="G18" s="120" t="s">
        <v>49</v>
      </c>
      <c r="H18" s="120"/>
      <c r="I18" s="120"/>
      <c r="J18" s="40"/>
      <c r="K18" s="40"/>
      <c r="L18" s="40"/>
      <c r="M18" s="40"/>
      <c r="N18" s="40"/>
      <c r="O18" s="40"/>
      <c r="P18" s="40"/>
      <c r="Q18" s="40"/>
      <c r="R18" s="42"/>
    </row>
    <row r="19" spans="2:19" ht="15.65" customHeight="1" thickBot="1" x14ac:dyDescent="0.9">
      <c r="B19" s="39"/>
      <c r="F19" s="113"/>
      <c r="G19" s="37" t="s">
        <v>0</v>
      </c>
      <c r="H19" s="37" t="s">
        <v>69</v>
      </c>
      <c r="I19" s="38" t="s">
        <v>59</v>
      </c>
      <c r="J19" s="40"/>
      <c r="K19" s="40"/>
      <c r="L19" s="40"/>
      <c r="M19" s="40"/>
      <c r="N19" s="40"/>
      <c r="O19" s="40"/>
      <c r="P19" s="40"/>
      <c r="Q19" s="40"/>
      <c r="R19" s="42"/>
    </row>
    <row r="20" spans="2:19" ht="15.65" customHeight="1" thickBot="1" x14ac:dyDescent="0.9">
      <c r="B20" s="144" t="s">
        <v>94</v>
      </c>
      <c r="C20" s="145"/>
      <c r="D20" s="146"/>
      <c r="F20" s="113"/>
      <c r="G20" s="41">
        <f>C27</f>
        <v>0.61399999999999999</v>
      </c>
      <c r="H20" s="41">
        <f>T50/T61</f>
        <v>0.62866449511400646</v>
      </c>
      <c r="I20" s="42">
        <f>(H20-G20)*100</f>
        <v>1.4664495114006471</v>
      </c>
      <c r="J20" s="40"/>
      <c r="K20" s="40"/>
      <c r="L20" s="40"/>
      <c r="M20" s="40"/>
      <c r="N20" s="40"/>
      <c r="O20" s="40"/>
      <c r="P20" s="40"/>
      <c r="Q20" s="40"/>
      <c r="R20" s="42"/>
    </row>
    <row r="21" spans="2:19" ht="6.65" customHeight="1" thickBot="1" x14ac:dyDescent="0.9">
      <c r="B21" s="100"/>
      <c r="C21" s="101"/>
      <c r="D21" s="86"/>
      <c r="G21" s="43"/>
      <c r="H21" s="41"/>
      <c r="I21" s="41"/>
      <c r="J21" s="42"/>
      <c r="K21" s="40"/>
      <c r="L21" s="40"/>
      <c r="M21" s="40"/>
      <c r="N21" s="40"/>
      <c r="O21" s="40"/>
      <c r="P21" s="40"/>
      <c r="Q21" s="40"/>
      <c r="R21" s="40"/>
      <c r="S21" s="42"/>
    </row>
    <row r="22" spans="2:19" ht="15.65" customHeight="1" x14ac:dyDescent="0.75">
      <c r="B22" s="100"/>
      <c r="C22" s="99" t="s">
        <v>0</v>
      </c>
      <c r="D22" s="86" t="s">
        <v>85</v>
      </c>
      <c r="F22" s="47"/>
      <c r="G22" s="112" t="s">
        <v>51</v>
      </c>
      <c r="H22" s="112"/>
      <c r="I22" s="112"/>
      <c r="J22" s="112"/>
      <c r="K22" s="57"/>
      <c r="L22" s="40"/>
      <c r="M22" s="40"/>
      <c r="N22" s="40"/>
      <c r="O22" s="40"/>
      <c r="P22" s="40"/>
      <c r="Q22" s="40"/>
      <c r="R22" s="40"/>
      <c r="S22" s="42"/>
    </row>
    <row r="23" spans="2:19" ht="15.65" customHeight="1" x14ac:dyDescent="0.75">
      <c r="B23" s="51" t="s">
        <v>95</v>
      </c>
      <c r="C23" s="94">
        <v>60000</v>
      </c>
      <c r="D23" s="104">
        <v>0</v>
      </c>
      <c r="F23" s="47" t="s">
        <v>52</v>
      </c>
      <c r="G23" s="44" t="s">
        <v>41</v>
      </c>
      <c r="H23" s="44" t="s">
        <v>54</v>
      </c>
      <c r="I23" s="44" t="s">
        <v>71</v>
      </c>
      <c r="J23" s="44" t="s">
        <v>59</v>
      </c>
      <c r="L23" s="43"/>
      <c r="M23" s="43"/>
      <c r="N23" s="43"/>
      <c r="O23" s="43"/>
      <c r="P23" s="43"/>
      <c r="Q23" s="43"/>
      <c r="R23" s="43"/>
      <c r="S23" s="43"/>
    </row>
    <row r="24" spans="2:19" ht="15.65" customHeight="1" x14ac:dyDescent="0.75">
      <c r="B24" s="51" t="s">
        <v>61</v>
      </c>
      <c r="C24" s="95">
        <v>0.14699999999999999</v>
      </c>
      <c r="D24" s="104">
        <v>0</v>
      </c>
      <c r="F24" s="47" t="s">
        <v>12</v>
      </c>
      <c r="G24" s="45">
        <f>K45+N45+Q45</f>
        <v>6</v>
      </c>
      <c r="H24" s="45">
        <f>K44+N44+Q44</f>
        <v>7.5</v>
      </c>
      <c r="I24" s="45">
        <f>K46+N46+Q46</f>
        <v>8.5</v>
      </c>
      <c r="J24" s="45">
        <f>I24-H24</f>
        <v>1</v>
      </c>
    </row>
    <row r="25" spans="2:19" ht="15.65" customHeight="1" x14ac:dyDescent="0.75">
      <c r="B25" s="51" t="s">
        <v>11</v>
      </c>
      <c r="C25" s="95">
        <v>0.94299999999999995</v>
      </c>
      <c r="D25" s="104">
        <v>0</v>
      </c>
      <c r="F25" s="47" t="s">
        <v>14</v>
      </c>
      <c r="G25" s="45">
        <f>K41+N41+Q41+K53+N53+Q53</f>
        <v>20</v>
      </c>
      <c r="H25" s="45">
        <f>K40+N40+Q40+K52+N52+Q52</f>
        <v>25.5</v>
      </c>
      <c r="I25" s="45">
        <f>K42+N42+Q42+K54+N54+Q54</f>
        <v>20</v>
      </c>
      <c r="J25" s="45">
        <f>I25-H25</f>
        <v>-5.5</v>
      </c>
    </row>
    <row r="26" spans="2:19" ht="15.65" customHeight="1" x14ac:dyDescent="0.75">
      <c r="B26" s="51" t="s">
        <v>44</v>
      </c>
      <c r="C26" s="96">
        <v>8.9</v>
      </c>
      <c r="D26" s="104">
        <v>0</v>
      </c>
      <c r="F26" s="47" t="s">
        <v>16</v>
      </c>
      <c r="G26" s="45">
        <f>K49+N49+Q49</f>
        <v>30</v>
      </c>
      <c r="H26" s="45">
        <f>K48+N48+Q48</f>
        <v>54.75</v>
      </c>
      <c r="I26" s="45">
        <f>K50+N50+Q50</f>
        <v>48.25</v>
      </c>
      <c r="J26" s="45">
        <f>I26-H26</f>
        <v>-6.5</v>
      </c>
    </row>
    <row r="27" spans="2:19" ht="15.65" customHeight="1" x14ac:dyDescent="0.75">
      <c r="B27" s="51" t="s">
        <v>45</v>
      </c>
      <c r="C27" s="95">
        <v>0.61399999999999999</v>
      </c>
      <c r="D27" s="104">
        <v>0</v>
      </c>
      <c r="F27" s="58" t="s">
        <v>29</v>
      </c>
      <c r="G27" s="59">
        <f t="shared" ref="G27" si="0">SUM(G24:G26)</f>
        <v>56</v>
      </c>
      <c r="H27" s="59">
        <f>SUM(H24:H26)</f>
        <v>87.75</v>
      </c>
      <c r="I27" s="59">
        <f t="shared" ref="I27:J27" si="1">SUM(I24:I26)</f>
        <v>76.75</v>
      </c>
      <c r="J27" s="59">
        <f t="shared" si="1"/>
        <v>-11</v>
      </c>
    </row>
    <row r="28" spans="2:19" ht="6" customHeight="1" x14ac:dyDescent="0.75">
      <c r="B28" s="49"/>
      <c r="C28" s="55"/>
      <c r="D28" s="50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spans="2:19" ht="15.65" customHeight="1" x14ac:dyDescent="0.75">
      <c r="B29" s="51" t="s">
        <v>13</v>
      </c>
      <c r="C29" s="97">
        <v>46111</v>
      </c>
      <c r="D29" s="102"/>
      <c r="F29" s="47" t="s">
        <v>52</v>
      </c>
      <c r="G29" s="44" t="s">
        <v>103</v>
      </c>
      <c r="H29" s="44" t="s">
        <v>55</v>
      </c>
      <c r="I29" s="44" t="s">
        <v>72</v>
      </c>
      <c r="J29" s="44" t="s">
        <v>59</v>
      </c>
    </row>
    <row r="30" spans="2:19" ht="15.65" customHeight="1" x14ac:dyDescent="0.75">
      <c r="B30" s="51" t="s">
        <v>15</v>
      </c>
      <c r="C30" s="97">
        <v>46131</v>
      </c>
      <c r="D30" s="102"/>
      <c r="F30" s="47" t="s">
        <v>12</v>
      </c>
      <c r="G30" s="46">
        <f>L45+O45+R45</f>
        <v>8790</v>
      </c>
      <c r="H30" s="46">
        <f>L44+O44+R44</f>
        <v>10987.5</v>
      </c>
      <c r="I30" s="46">
        <f>L46+O46+R46</f>
        <v>12452.5</v>
      </c>
      <c r="J30" s="46">
        <f>I30-H30</f>
        <v>1465</v>
      </c>
    </row>
    <row r="31" spans="2:19" ht="15.65" customHeight="1" thickBot="1" x14ac:dyDescent="0.9">
      <c r="B31" s="52" t="s">
        <v>17</v>
      </c>
      <c r="C31" s="98" t="s">
        <v>53</v>
      </c>
      <c r="D31" s="103"/>
      <c r="F31" s="47" t="s">
        <v>14</v>
      </c>
      <c r="G31" s="46">
        <f>L41+O41+R41+L53+O53+R53</f>
        <v>20600</v>
      </c>
      <c r="H31" s="46">
        <f>L40+O40+R40+L52+O52+R52</f>
        <v>28432.5</v>
      </c>
      <c r="I31" s="46">
        <f>L42+O42+R42+L54+O54+R54</f>
        <v>20600</v>
      </c>
      <c r="J31" s="46">
        <f>I31-H31</f>
        <v>-7832.5</v>
      </c>
    </row>
    <row r="32" spans="2:19" ht="15.65" customHeight="1" x14ac:dyDescent="0.75">
      <c r="F32" s="47" t="s">
        <v>16</v>
      </c>
      <c r="G32" s="46">
        <f>L49+O49+R49</f>
        <v>17250</v>
      </c>
      <c r="H32" s="46">
        <f>L48+O48+R48</f>
        <v>31481.25</v>
      </c>
      <c r="I32" s="46">
        <f>L50+O50+R50</f>
        <v>27743.75</v>
      </c>
      <c r="J32" s="46">
        <f>I32-H32</f>
        <v>-3737.5</v>
      </c>
    </row>
    <row r="33" spans="2:22" ht="15.65" customHeight="1" x14ac:dyDescent="0.75">
      <c r="F33" s="58" t="s">
        <v>29</v>
      </c>
      <c r="G33" s="60">
        <f>SUM(G30:G32)</f>
        <v>46640</v>
      </c>
      <c r="H33" s="60">
        <f>SUM(H30:H32)</f>
        <v>70901.25</v>
      </c>
      <c r="I33" s="60">
        <f t="shared" ref="I33:J33" si="2">SUM(I30:I32)</f>
        <v>60796.25</v>
      </c>
      <c r="J33" s="60">
        <f t="shared" si="2"/>
        <v>-10105</v>
      </c>
    </row>
    <row r="34" spans="2:22" ht="6" customHeight="1" x14ac:dyDescent="0.75"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 spans="2:22" x14ac:dyDescent="0.75">
      <c r="B35" s="147" t="s">
        <v>89</v>
      </c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</row>
    <row r="36" spans="2:22" ht="6" customHeight="1" x14ac:dyDescent="0.75"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 spans="2:22" x14ac:dyDescent="0.75">
      <c r="B37" s="67" t="s">
        <v>87</v>
      </c>
      <c r="C37" s="65" t="s">
        <v>86</v>
      </c>
      <c r="J37" s="66"/>
      <c r="K37" s="114" t="s">
        <v>38</v>
      </c>
      <c r="L37" s="115"/>
      <c r="M37" s="116"/>
      <c r="N37" s="114" t="s">
        <v>39</v>
      </c>
      <c r="O37" s="115"/>
      <c r="P37" s="116"/>
      <c r="Q37" s="114" t="s">
        <v>40</v>
      </c>
      <c r="R37" s="115"/>
      <c r="S37" s="115"/>
      <c r="T37" s="139" t="s">
        <v>102</v>
      </c>
      <c r="U37" s="140"/>
      <c r="V37" s="140"/>
    </row>
    <row r="38" spans="2:22" x14ac:dyDescent="0.75">
      <c r="J38" s="66"/>
      <c r="K38" s="141" t="s">
        <v>65</v>
      </c>
      <c r="L38" s="142"/>
      <c r="M38" s="143"/>
      <c r="N38" s="141" t="s">
        <v>66</v>
      </c>
      <c r="O38" s="142"/>
      <c r="P38" s="143"/>
      <c r="Q38" s="141" t="s">
        <v>67</v>
      </c>
      <c r="R38" s="142"/>
      <c r="S38" s="142"/>
      <c r="T38" s="148"/>
      <c r="U38" s="149"/>
      <c r="V38" s="149"/>
    </row>
    <row r="39" spans="2:22" x14ac:dyDescent="0.75">
      <c r="B39" s="53" t="s">
        <v>50</v>
      </c>
      <c r="C39" s="53" t="s">
        <v>101</v>
      </c>
      <c r="D39" s="53" t="s">
        <v>98</v>
      </c>
      <c r="E39" s="53" t="s">
        <v>6</v>
      </c>
      <c r="F39" s="53" t="s">
        <v>97</v>
      </c>
      <c r="G39" s="53" t="s">
        <v>96</v>
      </c>
      <c r="H39" s="53" t="s">
        <v>21</v>
      </c>
      <c r="I39" s="68" t="s">
        <v>22</v>
      </c>
      <c r="J39" s="53" t="s">
        <v>68</v>
      </c>
      <c r="K39" s="54" t="s">
        <v>23</v>
      </c>
      <c r="L39" s="53" t="s">
        <v>9</v>
      </c>
      <c r="M39" s="53" t="s">
        <v>24</v>
      </c>
      <c r="N39" s="54" t="s">
        <v>23</v>
      </c>
      <c r="O39" s="53" t="s">
        <v>9</v>
      </c>
      <c r="P39" s="53" t="s">
        <v>24</v>
      </c>
      <c r="Q39" s="54" t="s">
        <v>23</v>
      </c>
      <c r="R39" s="53" t="s">
        <v>9</v>
      </c>
      <c r="S39" s="53" t="s">
        <v>24</v>
      </c>
      <c r="T39" s="54" t="s">
        <v>23</v>
      </c>
      <c r="U39" s="53" t="s">
        <v>9</v>
      </c>
      <c r="V39" s="53" t="s">
        <v>24</v>
      </c>
    </row>
    <row r="40" spans="2:22" x14ac:dyDescent="0.75">
      <c r="B40" s="133" t="s">
        <v>26</v>
      </c>
      <c r="C40" s="134"/>
      <c r="D40" s="134"/>
      <c r="E40" s="133" t="s">
        <v>14</v>
      </c>
      <c r="F40" s="133" t="s">
        <v>99</v>
      </c>
      <c r="G40" s="133" t="s">
        <v>100</v>
      </c>
      <c r="H40" s="135">
        <v>1115</v>
      </c>
      <c r="I40" s="136">
        <f>H40*$C$25</f>
        <v>1051.4449999999999</v>
      </c>
      <c r="J40" s="18" t="s">
        <v>0</v>
      </c>
      <c r="K40" s="56">
        <f>(Monthly!$E$11+Monthly!$H$11)/8</f>
        <v>8.5</v>
      </c>
      <c r="L40" s="48">
        <f>$H40*K40</f>
        <v>9477.5</v>
      </c>
      <c r="M40" s="23">
        <f>K40*$I40</f>
        <v>8937.2824999999993</v>
      </c>
      <c r="N40" s="56">
        <f>(Monthly!$E$11+Monthly!$H$11)/8</f>
        <v>8.5</v>
      </c>
      <c r="O40" s="48">
        <f>$H40*N40</f>
        <v>9477.5</v>
      </c>
      <c r="P40" s="23">
        <f>N40*$I40</f>
        <v>8937.2824999999993</v>
      </c>
      <c r="Q40" s="56">
        <f>(Monthly!$E$11+Monthly!$H$11)/8</f>
        <v>8.5</v>
      </c>
      <c r="R40" s="48">
        <f>$H40*Q40</f>
        <v>9477.5</v>
      </c>
      <c r="S40" s="48">
        <f>Q40*$I40</f>
        <v>8937.2824999999993</v>
      </c>
      <c r="T40" s="89">
        <f>K40+N40+Q40</f>
        <v>25.5</v>
      </c>
      <c r="U40" s="90">
        <f>L40+O40+R40</f>
        <v>28432.5</v>
      </c>
      <c r="V40" s="90">
        <f>M40+P40+S40</f>
        <v>26811.847499999996</v>
      </c>
    </row>
    <row r="41" spans="2:22" x14ac:dyDescent="0.75">
      <c r="B41" s="133"/>
      <c r="C41" s="134"/>
      <c r="D41" s="134"/>
      <c r="E41" s="133"/>
      <c r="F41" s="133"/>
      <c r="G41" s="133"/>
      <c r="H41" s="135"/>
      <c r="I41" s="136"/>
      <c r="J41" s="18" t="s">
        <v>30</v>
      </c>
      <c r="K41" s="56">
        <v>0</v>
      </c>
      <c r="L41" s="48">
        <f>$H40*K41</f>
        <v>0</v>
      </c>
      <c r="M41" s="23">
        <f>K41*$I40</f>
        <v>0</v>
      </c>
      <c r="N41" s="56">
        <v>0</v>
      </c>
      <c r="O41" s="48">
        <f>$H40*N41</f>
        <v>0</v>
      </c>
      <c r="P41" s="23">
        <f>N41*$I40</f>
        <v>0</v>
      </c>
      <c r="Q41" s="56">
        <v>0</v>
      </c>
      <c r="R41" s="48">
        <f>$H40*Q41</f>
        <v>0</v>
      </c>
      <c r="S41" s="48">
        <f>Q41*$I40</f>
        <v>0</v>
      </c>
      <c r="T41" s="89">
        <f t="shared" ref="T41:V42" si="3">K41+N41+Q41</f>
        <v>0</v>
      </c>
      <c r="U41" s="90">
        <f t="shared" si="3"/>
        <v>0</v>
      </c>
      <c r="V41" s="90">
        <f t="shared" si="3"/>
        <v>0</v>
      </c>
    </row>
    <row r="42" spans="2:22" x14ac:dyDescent="0.75">
      <c r="B42" s="133"/>
      <c r="C42" s="134"/>
      <c r="D42" s="134"/>
      <c r="E42" s="133"/>
      <c r="F42" s="133"/>
      <c r="G42" s="133"/>
      <c r="H42" s="135"/>
      <c r="I42" s="136"/>
      <c r="J42" s="18" t="s">
        <v>69</v>
      </c>
      <c r="K42" s="65">
        <v>0</v>
      </c>
      <c r="L42" s="48">
        <f>$H40*K42</f>
        <v>0</v>
      </c>
      <c r="M42" s="23">
        <f>K42*$I40</f>
        <v>0</v>
      </c>
      <c r="N42" s="65">
        <f>N41</f>
        <v>0</v>
      </c>
      <c r="O42" s="48">
        <f>$H40*N42</f>
        <v>0</v>
      </c>
      <c r="P42" s="23">
        <f>N42*$I40</f>
        <v>0</v>
      </c>
      <c r="Q42" s="65">
        <f>IF(C37="X",0,Q40)</f>
        <v>0</v>
      </c>
      <c r="R42" s="48">
        <f>$H40*Q42</f>
        <v>0</v>
      </c>
      <c r="S42" s="48">
        <f>Q42*$I40</f>
        <v>0</v>
      </c>
      <c r="T42" s="89">
        <f t="shared" si="3"/>
        <v>0</v>
      </c>
      <c r="U42" s="90">
        <f t="shared" si="3"/>
        <v>0</v>
      </c>
      <c r="V42" s="90">
        <f t="shared" si="3"/>
        <v>0</v>
      </c>
    </row>
    <row r="43" spans="2:22" ht="6" customHeight="1" x14ac:dyDescent="0.75">
      <c r="B43" s="88"/>
      <c r="C43" s="105"/>
      <c r="D43" s="105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</row>
    <row r="44" spans="2:22" x14ac:dyDescent="0.75">
      <c r="B44" s="133" t="s">
        <v>57</v>
      </c>
      <c r="C44" s="134"/>
      <c r="D44" s="134"/>
      <c r="E44" s="133" t="s">
        <v>12</v>
      </c>
      <c r="F44" s="133" t="s">
        <v>99</v>
      </c>
      <c r="G44" s="133" t="s">
        <v>100</v>
      </c>
      <c r="H44" s="135">
        <v>1465</v>
      </c>
      <c r="I44" s="136">
        <f t="shared" ref="I44" si="4">H44*$C$25</f>
        <v>1381.4949999999999</v>
      </c>
      <c r="J44" s="18" t="s">
        <v>0</v>
      </c>
      <c r="K44" s="56">
        <v>2.5</v>
      </c>
      <c r="L44" s="48">
        <f>$H$44*K44</f>
        <v>3662.5</v>
      </c>
      <c r="M44" s="23">
        <f>K44*$I$44</f>
        <v>3453.7374999999997</v>
      </c>
      <c r="N44" s="56">
        <v>2.5</v>
      </c>
      <c r="O44" s="48">
        <f>$H$44*N44</f>
        <v>3662.5</v>
      </c>
      <c r="P44" s="23">
        <f>N44*$I$44</f>
        <v>3453.7374999999997</v>
      </c>
      <c r="Q44" s="56">
        <v>2.5</v>
      </c>
      <c r="R44" s="48">
        <f>$H$44*Q44</f>
        <v>3662.5</v>
      </c>
      <c r="S44" s="23">
        <f>Q44*$I$44</f>
        <v>3453.7374999999997</v>
      </c>
      <c r="T44" s="89">
        <f>K44+N44+Q44</f>
        <v>7.5</v>
      </c>
      <c r="U44" s="90">
        <f>L44+O44+R44</f>
        <v>10987.5</v>
      </c>
      <c r="V44" s="90">
        <f>M44+P44+S44</f>
        <v>10361.2125</v>
      </c>
    </row>
    <row r="45" spans="2:22" x14ac:dyDescent="0.75">
      <c r="B45" s="133"/>
      <c r="C45" s="134"/>
      <c r="D45" s="134"/>
      <c r="E45" s="133"/>
      <c r="F45" s="133"/>
      <c r="G45" s="133"/>
      <c r="H45" s="135"/>
      <c r="I45" s="136"/>
      <c r="J45" s="18" t="s">
        <v>30</v>
      </c>
      <c r="K45" s="56">
        <v>3</v>
      </c>
      <c r="L45" s="48">
        <f>$H$44*K45</f>
        <v>4395</v>
      </c>
      <c r="M45" s="23">
        <f>K45*$I$44</f>
        <v>4144.4849999999997</v>
      </c>
      <c r="N45" s="56">
        <v>3</v>
      </c>
      <c r="O45" s="48">
        <f>$H$44*N45</f>
        <v>4395</v>
      </c>
      <c r="P45" s="23">
        <f>N45*$I$44</f>
        <v>4144.4849999999997</v>
      </c>
      <c r="Q45" s="56">
        <v>0</v>
      </c>
      <c r="R45" s="48">
        <f>$H$44*Q45</f>
        <v>0</v>
      </c>
      <c r="S45" s="23">
        <f>Q45*$I$44</f>
        <v>0</v>
      </c>
      <c r="T45" s="89">
        <f t="shared" ref="T45:T46" si="5">K45+N45+Q45</f>
        <v>6</v>
      </c>
      <c r="U45" s="90">
        <f t="shared" ref="U45:U46" si="6">L45+O45+R45</f>
        <v>8790</v>
      </c>
      <c r="V45" s="90">
        <f t="shared" ref="V45:V46" si="7">M45+P45+S45</f>
        <v>8288.9699999999993</v>
      </c>
    </row>
    <row r="46" spans="2:22" x14ac:dyDescent="0.75">
      <c r="B46" s="133"/>
      <c r="C46" s="134"/>
      <c r="D46" s="134"/>
      <c r="E46" s="133"/>
      <c r="F46" s="133"/>
      <c r="G46" s="133"/>
      <c r="H46" s="135"/>
      <c r="I46" s="136"/>
      <c r="J46" s="18" t="s">
        <v>69</v>
      </c>
      <c r="K46" s="65">
        <f>K45</f>
        <v>3</v>
      </c>
      <c r="L46" s="48">
        <f>$H$44*K46</f>
        <v>4395</v>
      </c>
      <c r="M46" s="23">
        <f>K46*$I$44</f>
        <v>4144.4849999999997</v>
      </c>
      <c r="N46" s="65">
        <f>N45</f>
        <v>3</v>
      </c>
      <c r="O46" s="48">
        <f>$H$44*N46</f>
        <v>4395</v>
      </c>
      <c r="P46" s="23">
        <f>N46*$I$44</f>
        <v>4144.4849999999997</v>
      </c>
      <c r="Q46" s="65">
        <f>Q44</f>
        <v>2.5</v>
      </c>
      <c r="R46" s="48">
        <f>$H$44*Q46</f>
        <v>3662.5</v>
      </c>
      <c r="S46" s="23">
        <f>Q46*$I$44</f>
        <v>3453.7374999999997</v>
      </c>
      <c r="T46" s="89">
        <f t="shared" si="5"/>
        <v>8.5</v>
      </c>
      <c r="U46" s="90">
        <f t="shared" si="6"/>
        <v>12452.5</v>
      </c>
      <c r="V46" s="90">
        <f t="shared" si="7"/>
        <v>11742.707499999999</v>
      </c>
    </row>
    <row r="47" spans="2:22" ht="6" customHeight="1" x14ac:dyDescent="0.75">
      <c r="B47" s="88"/>
      <c r="C47" s="105"/>
      <c r="D47" s="105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</row>
    <row r="48" spans="2:22" x14ac:dyDescent="0.75">
      <c r="B48" s="133" t="s">
        <v>58</v>
      </c>
      <c r="C48" s="134"/>
      <c r="D48" s="134"/>
      <c r="E48" s="133" t="s">
        <v>16</v>
      </c>
      <c r="F48" s="133" t="s">
        <v>99</v>
      </c>
      <c r="G48" s="133" t="s">
        <v>100</v>
      </c>
      <c r="H48" s="135">
        <v>575</v>
      </c>
      <c r="I48" s="136">
        <f>H48*$C$25</f>
        <v>542.22500000000002</v>
      </c>
      <c r="J48" s="18" t="s">
        <v>0</v>
      </c>
      <c r="K48" s="56">
        <v>18.25</v>
      </c>
      <c r="L48" s="48">
        <f>$H$48*K48</f>
        <v>10493.75</v>
      </c>
      <c r="M48" s="23">
        <f>K48*$I$48</f>
        <v>9895.6062500000007</v>
      </c>
      <c r="N48" s="56">
        <v>18.25</v>
      </c>
      <c r="O48" s="48">
        <f>$H$48*N48</f>
        <v>10493.75</v>
      </c>
      <c r="P48" s="23">
        <f>N48*$I$48</f>
        <v>9895.6062500000007</v>
      </c>
      <c r="Q48" s="56">
        <v>18.25</v>
      </c>
      <c r="R48" s="48">
        <f>$H$48*Q48</f>
        <v>10493.75</v>
      </c>
      <c r="S48" s="23">
        <f>Q48*$I$48</f>
        <v>9895.6062500000007</v>
      </c>
      <c r="T48" s="89">
        <f>K48+N48+Q48</f>
        <v>54.75</v>
      </c>
      <c r="U48" s="90">
        <f>L48+O48+R48</f>
        <v>31481.25</v>
      </c>
      <c r="V48" s="90">
        <f>M48+P48+S48</f>
        <v>29686.818750000002</v>
      </c>
    </row>
    <row r="49" spans="2:22" x14ac:dyDescent="0.75">
      <c r="B49" s="133"/>
      <c r="C49" s="134"/>
      <c r="D49" s="134"/>
      <c r="E49" s="133"/>
      <c r="F49" s="133"/>
      <c r="G49" s="133"/>
      <c r="H49" s="135"/>
      <c r="I49" s="136"/>
      <c r="J49" s="18" t="s">
        <v>30</v>
      </c>
      <c r="K49" s="56">
        <v>15</v>
      </c>
      <c r="L49" s="48">
        <f>$H$48*K49</f>
        <v>8625</v>
      </c>
      <c r="M49" s="23">
        <f>K49*$I$48</f>
        <v>8133.375</v>
      </c>
      <c r="N49" s="56">
        <v>15</v>
      </c>
      <c r="O49" s="48">
        <f>$H$48*N49</f>
        <v>8625</v>
      </c>
      <c r="P49" s="23">
        <f>N49*$I$48</f>
        <v>8133.375</v>
      </c>
      <c r="Q49" s="56">
        <v>0</v>
      </c>
      <c r="R49" s="48">
        <f>$H$48*Q49</f>
        <v>0</v>
      </c>
      <c r="S49" s="23">
        <f>Q49*$I$48</f>
        <v>0</v>
      </c>
      <c r="T49" s="89">
        <f t="shared" ref="T49:T50" si="8">K49+N49+Q49</f>
        <v>30</v>
      </c>
      <c r="U49" s="90">
        <f t="shared" ref="U49:U50" si="9">L49+O49+R49</f>
        <v>17250</v>
      </c>
      <c r="V49" s="90">
        <f t="shared" ref="V49:V50" si="10">M49+P49+S49</f>
        <v>16266.75</v>
      </c>
    </row>
    <row r="50" spans="2:22" x14ac:dyDescent="0.75">
      <c r="B50" s="133"/>
      <c r="C50" s="134"/>
      <c r="D50" s="134"/>
      <c r="E50" s="133"/>
      <c r="F50" s="133"/>
      <c r="G50" s="133"/>
      <c r="H50" s="135"/>
      <c r="I50" s="136"/>
      <c r="J50" s="18" t="s">
        <v>69</v>
      </c>
      <c r="K50" s="65">
        <f>K49</f>
        <v>15</v>
      </c>
      <c r="L50" s="48">
        <f>$H$48*K50</f>
        <v>8625</v>
      </c>
      <c r="M50" s="23">
        <f>K50*$I$48</f>
        <v>8133.375</v>
      </c>
      <c r="N50" s="65">
        <f>N49</f>
        <v>15</v>
      </c>
      <c r="O50" s="48">
        <f>$H$48*N50</f>
        <v>8625</v>
      </c>
      <c r="P50" s="23">
        <f>N50*$I$48</f>
        <v>8133.375</v>
      </c>
      <c r="Q50" s="65">
        <f>Q48</f>
        <v>18.25</v>
      </c>
      <c r="R50" s="48">
        <f>$H$48*Q50</f>
        <v>10493.75</v>
      </c>
      <c r="S50" s="23">
        <f>Q50*$I$48</f>
        <v>9895.6062500000007</v>
      </c>
      <c r="T50" s="89">
        <f t="shared" si="8"/>
        <v>48.25</v>
      </c>
      <c r="U50" s="90">
        <f t="shared" si="9"/>
        <v>27743.75</v>
      </c>
      <c r="V50" s="90">
        <f t="shared" si="10"/>
        <v>26162.356250000001</v>
      </c>
    </row>
    <row r="51" spans="2:22" ht="6" customHeight="1" x14ac:dyDescent="0.75">
      <c r="B51" s="88"/>
      <c r="C51" s="105"/>
      <c r="D51" s="105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</row>
    <row r="52" spans="2:22" x14ac:dyDescent="0.75">
      <c r="B52" s="133" t="s">
        <v>56</v>
      </c>
      <c r="C52" s="134"/>
      <c r="D52" s="134"/>
      <c r="E52" s="133" t="s">
        <v>14</v>
      </c>
      <c r="F52" s="133" t="s">
        <v>99</v>
      </c>
      <c r="G52" s="133" t="s">
        <v>100</v>
      </c>
      <c r="H52" s="135">
        <v>1030</v>
      </c>
      <c r="I52" s="136">
        <f t="shared" ref="I52" si="11">H52*$C$25</f>
        <v>971.29</v>
      </c>
      <c r="J52" s="18" t="s">
        <v>0</v>
      </c>
      <c r="K52" s="56">
        <v>0</v>
      </c>
      <c r="L52" s="48">
        <f>$H$52*K52</f>
        <v>0</v>
      </c>
      <c r="M52" s="23">
        <f>K52*$I$52</f>
        <v>0</v>
      </c>
      <c r="N52" s="56">
        <v>0</v>
      </c>
      <c r="O52" s="48">
        <f>$H$52*N52</f>
        <v>0</v>
      </c>
      <c r="P52" s="23">
        <f>N52*$I$52</f>
        <v>0</v>
      </c>
      <c r="Q52" s="56">
        <v>0</v>
      </c>
      <c r="R52" s="48">
        <f>$H$52*Q52</f>
        <v>0</v>
      </c>
      <c r="S52" s="23">
        <f>Q52*$I$52</f>
        <v>0</v>
      </c>
      <c r="T52" s="89">
        <f>K52+N52+Q52</f>
        <v>0</v>
      </c>
      <c r="U52" s="90">
        <f>L52+O52+R52</f>
        <v>0</v>
      </c>
      <c r="V52" s="90">
        <f>M52+P52+S52</f>
        <v>0</v>
      </c>
    </row>
    <row r="53" spans="2:22" x14ac:dyDescent="0.75">
      <c r="B53" s="133"/>
      <c r="C53" s="134"/>
      <c r="D53" s="134"/>
      <c r="E53" s="133"/>
      <c r="F53" s="133"/>
      <c r="G53" s="133"/>
      <c r="H53" s="135"/>
      <c r="I53" s="136"/>
      <c r="J53" s="18" t="s">
        <v>30</v>
      </c>
      <c r="K53" s="56">
        <v>10</v>
      </c>
      <c r="L53" s="48">
        <f>$H$52*K53</f>
        <v>10300</v>
      </c>
      <c r="M53" s="23">
        <f>K53*$I$52</f>
        <v>9712.9</v>
      </c>
      <c r="N53" s="56">
        <v>10</v>
      </c>
      <c r="O53" s="48">
        <f>$H$52*N53</f>
        <v>10300</v>
      </c>
      <c r="P53" s="23">
        <f>N53*$I$52</f>
        <v>9712.9</v>
      </c>
      <c r="Q53" s="56">
        <v>0</v>
      </c>
      <c r="R53" s="48">
        <f>$H$52*Q53</f>
        <v>0</v>
      </c>
      <c r="S53" s="23">
        <f>Q53*$I$52</f>
        <v>0</v>
      </c>
      <c r="T53" s="89">
        <f t="shared" ref="T53:T54" si="12">K53+N53+Q53</f>
        <v>20</v>
      </c>
      <c r="U53" s="90">
        <f t="shared" ref="U53:U54" si="13">L53+O53+R53</f>
        <v>20600</v>
      </c>
      <c r="V53" s="90">
        <f t="shared" ref="V53:V54" si="14">M53+P53+S53</f>
        <v>19425.8</v>
      </c>
    </row>
    <row r="54" spans="2:22" x14ac:dyDescent="0.75">
      <c r="B54" s="133"/>
      <c r="C54" s="134"/>
      <c r="D54" s="134"/>
      <c r="E54" s="133"/>
      <c r="F54" s="133"/>
      <c r="G54" s="133"/>
      <c r="H54" s="135"/>
      <c r="I54" s="136"/>
      <c r="J54" s="18" t="s">
        <v>69</v>
      </c>
      <c r="K54" s="65">
        <f>K53</f>
        <v>10</v>
      </c>
      <c r="L54" s="48">
        <f>$H$52*K54</f>
        <v>10300</v>
      </c>
      <c r="M54" s="23">
        <f>K54*$I$52</f>
        <v>9712.9</v>
      </c>
      <c r="N54" s="65">
        <f>N53</f>
        <v>10</v>
      </c>
      <c r="O54" s="48">
        <f>$H$52*N54</f>
        <v>10300</v>
      </c>
      <c r="P54" s="23">
        <f>N54*$I$52</f>
        <v>9712.9</v>
      </c>
      <c r="Q54" s="65">
        <f>Q52</f>
        <v>0</v>
      </c>
      <c r="R54" s="48">
        <f>$H$52*Q54</f>
        <v>0</v>
      </c>
      <c r="S54" s="23">
        <f>Q54*$I$52</f>
        <v>0</v>
      </c>
      <c r="T54" s="89">
        <f t="shared" si="12"/>
        <v>20</v>
      </c>
      <c r="U54" s="90">
        <f t="shared" si="13"/>
        <v>20600</v>
      </c>
      <c r="V54" s="90">
        <f t="shared" si="14"/>
        <v>19425.8</v>
      </c>
    </row>
    <row r="55" spans="2:22" ht="6" customHeight="1" x14ac:dyDescent="0.75"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</row>
    <row r="56" spans="2:22" x14ac:dyDescent="0.75">
      <c r="B56" s="134" t="s">
        <v>88</v>
      </c>
      <c r="C56" s="134"/>
      <c r="D56" s="134"/>
      <c r="E56" s="134"/>
      <c r="F56" s="134"/>
      <c r="G56" s="134"/>
      <c r="H56" s="134"/>
      <c r="I56" s="85"/>
      <c r="K56" s="56"/>
      <c r="L56" s="48"/>
      <c r="M56" s="23"/>
      <c r="N56" s="56"/>
      <c r="O56" s="48"/>
      <c r="P56" s="23"/>
      <c r="Q56" s="56"/>
      <c r="R56" s="48"/>
      <c r="S56" s="23"/>
      <c r="T56" s="91"/>
      <c r="U56" s="92"/>
      <c r="V56" s="93"/>
    </row>
    <row r="57" spans="2:22" ht="6" customHeight="1" x14ac:dyDescent="0.75"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</row>
    <row r="58" spans="2:22" ht="6" customHeight="1" x14ac:dyDescent="0.75">
      <c r="B58" s="55"/>
      <c r="C58" s="55"/>
      <c r="D58" s="55"/>
      <c r="E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</row>
    <row r="59" spans="2:22" x14ac:dyDescent="0.75">
      <c r="B59" s="30"/>
      <c r="C59" s="30"/>
      <c r="D59" s="30"/>
      <c r="E59" s="30"/>
      <c r="F59" s="29"/>
      <c r="G59" s="29"/>
      <c r="H59" s="29"/>
      <c r="I59" s="137" t="s">
        <v>90</v>
      </c>
      <c r="J59" s="29" t="s">
        <v>0</v>
      </c>
      <c r="K59" s="32">
        <f>K40+K44+K48+K52</f>
        <v>29.25</v>
      </c>
      <c r="L59" s="31">
        <f t="shared" ref="L59:V59" si="15">L40+L44+L48+L52</f>
        <v>23633.75</v>
      </c>
      <c r="M59" s="31">
        <f t="shared" si="15"/>
        <v>22286.626250000001</v>
      </c>
      <c r="N59" s="32">
        <f t="shared" si="15"/>
        <v>29.25</v>
      </c>
      <c r="O59" s="31">
        <f t="shared" si="15"/>
        <v>23633.75</v>
      </c>
      <c r="P59" s="31">
        <f t="shared" si="15"/>
        <v>22286.626250000001</v>
      </c>
      <c r="Q59" s="32">
        <f t="shared" si="15"/>
        <v>29.25</v>
      </c>
      <c r="R59" s="31">
        <f t="shared" si="15"/>
        <v>23633.75</v>
      </c>
      <c r="S59" s="31">
        <f t="shared" si="15"/>
        <v>22286.626250000001</v>
      </c>
      <c r="T59" s="32">
        <f t="shared" si="15"/>
        <v>87.75</v>
      </c>
      <c r="U59" s="31">
        <f t="shared" si="15"/>
        <v>70901.25</v>
      </c>
      <c r="V59" s="31">
        <f t="shared" si="15"/>
        <v>66859.878750000003</v>
      </c>
    </row>
    <row r="60" spans="2:22" x14ac:dyDescent="0.75">
      <c r="B60" s="30"/>
      <c r="C60" s="30"/>
      <c r="D60" s="30"/>
      <c r="E60" s="30"/>
      <c r="F60" s="29"/>
      <c r="G60" s="29"/>
      <c r="H60" s="29"/>
      <c r="I60" s="138"/>
      <c r="J60" s="29" t="s">
        <v>30</v>
      </c>
      <c r="K60" s="32">
        <f t="shared" ref="K60:K61" si="16">K41+K45+K49+K53</f>
        <v>28</v>
      </c>
      <c r="L60" s="31">
        <f>L41+L45+L49+L53</f>
        <v>23320</v>
      </c>
      <c r="M60" s="31">
        <f>M41+M45+M49+M53</f>
        <v>21990.760000000002</v>
      </c>
      <c r="N60" s="32">
        <f t="shared" ref="N60:N61" si="17">N41+N45+N49+N53</f>
        <v>28</v>
      </c>
      <c r="O60" s="31">
        <f>O41+O45+O49+O53</f>
        <v>23320</v>
      </c>
      <c r="P60" s="31">
        <f>P41+P45+P49+P53</f>
        <v>21990.760000000002</v>
      </c>
      <c r="Q60" s="32">
        <f t="shared" ref="Q60:Q61" si="18">Q41+Q45+Q49+Q53</f>
        <v>0</v>
      </c>
      <c r="R60" s="31">
        <f>R41+R45+R49+R53</f>
        <v>0</v>
      </c>
      <c r="S60" s="31">
        <f>S41+S45+S49+S53</f>
        <v>0</v>
      </c>
      <c r="T60" s="32">
        <f t="shared" ref="T60:T61" si="19">T41+T45+T49+T53</f>
        <v>56</v>
      </c>
      <c r="U60" s="31">
        <f>U41+U45+U49+U53</f>
        <v>46640</v>
      </c>
      <c r="V60" s="31">
        <f>V41+V45+V49+V53</f>
        <v>43981.520000000004</v>
      </c>
    </row>
    <row r="61" spans="2:22" x14ac:dyDescent="0.75">
      <c r="B61" s="30"/>
      <c r="C61" s="30"/>
      <c r="D61" s="30"/>
      <c r="E61" s="30"/>
      <c r="F61" s="29"/>
      <c r="G61" s="29"/>
      <c r="H61" s="29"/>
      <c r="I61" s="138"/>
      <c r="J61" s="29" t="s">
        <v>69</v>
      </c>
      <c r="K61" s="32">
        <f t="shared" si="16"/>
        <v>28</v>
      </c>
      <c r="L61" s="31">
        <f>L42+L46+L50+L54</f>
        <v>23320</v>
      </c>
      <c r="M61" s="31">
        <f>M42+M46+M50+M54</f>
        <v>21990.760000000002</v>
      </c>
      <c r="N61" s="32">
        <f t="shared" si="17"/>
        <v>28</v>
      </c>
      <c r="O61" s="31">
        <f>O42+O46+O50+O54</f>
        <v>23320</v>
      </c>
      <c r="P61" s="31">
        <f>P42+P46+P50+P54</f>
        <v>21990.760000000002</v>
      </c>
      <c r="Q61" s="32">
        <f t="shared" si="18"/>
        <v>20.75</v>
      </c>
      <c r="R61" s="31">
        <f>R42+R46+R50+R54</f>
        <v>14156.25</v>
      </c>
      <c r="S61" s="31">
        <f>S42+S46+S50+S54</f>
        <v>13349.34375</v>
      </c>
      <c r="T61" s="32">
        <f t="shared" si="19"/>
        <v>76.75</v>
      </c>
      <c r="U61" s="31">
        <f>U42+U46+U50+U54</f>
        <v>60796.25</v>
      </c>
      <c r="V61" s="31">
        <f>V42+V46+V50+V54</f>
        <v>57330.863750000004</v>
      </c>
    </row>
    <row r="62" spans="2:22" ht="6" customHeight="1" x14ac:dyDescent="0.75"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</row>
    <row r="63" spans="2:22" x14ac:dyDescent="0.75">
      <c r="G63"/>
      <c r="H63"/>
    </row>
    <row r="64" spans="2:22" ht="29.5" x14ac:dyDescent="0.75">
      <c r="E64" s="72" t="s">
        <v>73</v>
      </c>
      <c r="F64" s="81">
        <f>C23</f>
        <v>60000</v>
      </c>
      <c r="G64" s="74" t="s">
        <v>81</v>
      </c>
      <c r="H64" s="81">
        <v>0</v>
      </c>
      <c r="I64" s="77" t="s">
        <v>78</v>
      </c>
      <c r="J64" s="81">
        <f>J65+J66</f>
        <v>10000</v>
      </c>
      <c r="K64" s="87" t="s">
        <v>91</v>
      </c>
      <c r="L64" s="81">
        <f>L65+L66</f>
        <v>70000</v>
      </c>
    </row>
    <row r="65" spans="3:20" x14ac:dyDescent="0.75">
      <c r="E65" s="73" t="s">
        <v>84</v>
      </c>
      <c r="F65" s="70">
        <v>60000</v>
      </c>
      <c r="G65" s="75" t="s">
        <v>84</v>
      </c>
      <c r="H65" s="69">
        <v>0</v>
      </c>
      <c r="I65" s="78" t="s">
        <v>104</v>
      </c>
      <c r="J65" s="76"/>
      <c r="K65" s="79" t="s">
        <v>84</v>
      </c>
      <c r="L65" s="69">
        <f>F65</f>
        <v>60000</v>
      </c>
    </row>
    <row r="66" spans="3:20" x14ac:dyDescent="0.75">
      <c r="E66" s="73" t="s">
        <v>105</v>
      </c>
      <c r="F66" s="70">
        <v>0</v>
      </c>
      <c r="G66" s="75" t="s">
        <v>105</v>
      </c>
      <c r="H66" s="69">
        <v>0</v>
      </c>
      <c r="I66" s="78" t="s">
        <v>105</v>
      </c>
      <c r="J66" s="76">
        <v>10000</v>
      </c>
      <c r="K66" s="79" t="s">
        <v>105</v>
      </c>
      <c r="L66" s="69">
        <f>F66+J66</f>
        <v>10000</v>
      </c>
    </row>
    <row r="67" spans="3:20" ht="6" customHeight="1" x14ac:dyDescent="0.75">
      <c r="D67" s="55"/>
      <c r="E67" s="55"/>
      <c r="F67" s="71"/>
      <c r="G67" s="55"/>
      <c r="H67" s="71"/>
      <c r="I67" s="55"/>
      <c r="J67" s="71"/>
      <c r="K67" s="55"/>
      <c r="L67" s="71"/>
      <c r="M67" s="55"/>
      <c r="N67" s="55"/>
      <c r="O67" s="55"/>
      <c r="P67" s="55"/>
      <c r="Q67" s="55"/>
      <c r="R67" s="55"/>
      <c r="S67" s="55"/>
      <c r="T67" s="55"/>
    </row>
    <row r="68" spans="3:20" ht="29.5" x14ac:dyDescent="0.75">
      <c r="E68" s="72" t="s">
        <v>74</v>
      </c>
      <c r="F68" s="83">
        <f>F64*0.15</f>
        <v>9000</v>
      </c>
      <c r="G68" s="74" t="s">
        <v>82</v>
      </c>
      <c r="H68" s="83">
        <v>6000</v>
      </c>
      <c r="I68" s="77" t="s">
        <v>79</v>
      </c>
      <c r="J68" s="82">
        <v>0</v>
      </c>
      <c r="K68" s="87" t="s">
        <v>92</v>
      </c>
      <c r="L68" s="83">
        <f>F68+J68</f>
        <v>9000</v>
      </c>
    </row>
    <row r="69" spans="3:20" ht="6" customHeight="1" x14ac:dyDescent="0.75">
      <c r="D69" s="55"/>
      <c r="E69" s="55"/>
      <c r="F69" s="71"/>
      <c r="G69" s="55"/>
      <c r="H69" s="71"/>
      <c r="I69" s="55"/>
      <c r="J69" s="71"/>
      <c r="K69" s="55"/>
      <c r="L69" s="71"/>
      <c r="M69" s="55"/>
      <c r="N69" s="55"/>
      <c r="O69" s="55"/>
      <c r="P69" s="55"/>
      <c r="Q69" s="55"/>
      <c r="R69" s="55"/>
      <c r="S69" s="55"/>
      <c r="T69" s="55"/>
    </row>
    <row r="70" spans="3:20" ht="29.5" x14ac:dyDescent="0.75">
      <c r="E70" s="72" t="s">
        <v>75</v>
      </c>
      <c r="F70" s="83">
        <f>F71+F72</f>
        <v>10000</v>
      </c>
      <c r="G70" s="74" t="s">
        <v>83</v>
      </c>
      <c r="H70" s="83">
        <v>10000</v>
      </c>
      <c r="I70" s="77" t="s">
        <v>80</v>
      </c>
      <c r="J70" s="83">
        <f>J72+J71</f>
        <v>0</v>
      </c>
      <c r="K70" s="87" t="s">
        <v>93</v>
      </c>
      <c r="L70" s="83">
        <f>L71+L72</f>
        <v>10000</v>
      </c>
    </row>
    <row r="71" spans="3:20" x14ac:dyDescent="0.75">
      <c r="E71" s="73" t="s">
        <v>76</v>
      </c>
      <c r="F71" s="70">
        <v>10000</v>
      </c>
      <c r="G71" s="75" t="s">
        <v>76</v>
      </c>
      <c r="H71" s="80"/>
      <c r="I71" s="78" t="s">
        <v>76</v>
      </c>
      <c r="J71" s="76"/>
      <c r="K71" s="79" t="s">
        <v>76</v>
      </c>
      <c r="L71" s="70">
        <f>F71</f>
        <v>10000</v>
      </c>
    </row>
    <row r="72" spans="3:20" x14ac:dyDescent="0.75">
      <c r="E72" s="73" t="s">
        <v>77</v>
      </c>
      <c r="F72" s="70">
        <v>0</v>
      </c>
      <c r="G72" s="75" t="s">
        <v>77</v>
      </c>
      <c r="H72" s="80"/>
      <c r="I72" s="78" t="s">
        <v>77</v>
      </c>
      <c r="J72" s="76"/>
      <c r="K72" s="79" t="s">
        <v>77</v>
      </c>
      <c r="L72" s="70">
        <f>F72</f>
        <v>0</v>
      </c>
    </row>
    <row r="76" spans="3:20" x14ac:dyDescent="0.75">
      <c r="C76" s="18" t="s">
        <v>37</v>
      </c>
      <c r="D76" s="18" t="s">
        <v>37</v>
      </c>
    </row>
  </sheetData>
  <mergeCells count="58">
    <mergeCell ref="B20:D20"/>
    <mergeCell ref="E40:E42"/>
    <mergeCell ref="E44:E46"/>
    <mergeCell ref="E48:E50"/>
    <mergeCell ref="F40:F42"/>
    <mergeCell ref="C40:C42"/>
    <mergeCell ref="C44:C46"/>
    <mergeCell ref="C48:C50"/>
    <mergeCell ref="B35:V35"/>
    <mergeCell ref="T38:V38"/>
    <mergeCell ref="B40:B42"/>
    <mergeCell ref="D40:D42"/>
    <mergeCell ref="H40:H42"/>
    <mergeCell ref="I40:I42"/>
    <mergeCell ref="B44:B46"/>
    <mergeCell ref="D44:D46"/>
    <mergeCell ref="T37:V37"/>
    <mergeCell ref="G40:G42"/>
    <mergeCell ref="F44:F46"/>
    <mergeCell ref="G44:G46"/>
    <mergeCell ref="F48:F50"/>
    <mergeCell ref="G48:G50"/>
    <mergeCell ref="H44:H46"/>
    <mergeCell ref="K38:M38"/>
    <mergeCell ref="N38:P38"/>
    <mergeCell ref="Q38:S38"/>
    <mergeCell ref="I59:I61"/>
    <mergeCell ref="I52:I54"/>
    <mergeCell ref="B52:B54"/>
    <mergeCell ref="D52:D54"/>
    <mergeCell ref="H52:H54"/>
    <mergeCell ref="E52:E54"/>
    <mergeCell ref="G52:G54"/>
    <mergeCell ref="F52:F54"/>
    <mergeCell ref="C52:C54"/>
    <mergeCell ref="B56:H56"/>
    <mergeCell ref="B48:B50"/>
    <mergeCell ref="D48:D50"/>
    <mergeCell ref="H48:H50"/>
    <mergeCell ref="I48:I50"/>
    <mergeCell ref="I44:I46"/>
    <mergeCell ref="C2:D3"/>
    <mergeCell ref="C4:D7"/>
    <mergeCell ref="I2:J3"/>
    <mergeCell ref="L2:M3"/>
    <mergeCell ref="I4:J7"/>
    <mergeCell ref="L4:M7"/>
    <mergeCell ref="F2:G3"/>
    <mergeCell ref="F4:G7"/>
    <mergeCell ref="G22:J22"/>
    <mergeCell ref="F9:F20"/>
    <mergeCell ref="K37:M37"/>
    <mergeCell ref="N37:P37"/>
    <mergeCell ref="Q37:S37"/>
    <mergeCell ref="G9:I9"/>
    <mergeCell ref="G12:I12"/>
    <mergeCell ref="G15:I15"/>
    <mergeCell ref="G18:I18"/>
  </mergeCells>
  <pageMargins left="0.7" right="0.7" top="0.75" bottom="0.75" header="0.3" footer="0.3"/>
  <pageSetup orientation="portrait" horizontalDpi="1200" verticalDpi="1200" r:id="rId1"/>
  <headerFooter>
    <oddFooter>&amp;L_x000D_&amp;1#&amp;"Calibri"&amp;10&amp;K000000 AlixPartners Confidential</oddFooter>
  </headerFooter>
  <customProperties>
    <customPr name="_pios_id" r:id="rId2"/>
  </customProperties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20c71f-5685-47de-ba44-85c4baabad3b">
      <Terms xmlns="http://schemas.microsoft.com/office/infopath/2007/PartnerControls"/>
    </lcf76f155ced4ddcb4097134ff3c332f>
    <TaxCatchAll xmlns="4d608bb6-20bc-441d-886c-61f6a1a915b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3068182A6544484C05215C941293C" ma:contentTypeVersion="12" ma:contentTypeDescription="Create a new document." ma:contentTypeScope="" ma:versionID="0f86d32faeefa20f5112340965424a38">
  <xsd:schema xmlns:xsd="http://www.w3.org/2001/XMLSchema" xmlns:xs="http://www.w3.org/2001/XMLSchema" xmlns:p="http://schemas.microsoft.com/office/2006/metadata/properties" xmlns:ns2="a820c71f-5685-47de-ba44-85c4baabad3b" xmlns:ns3="4d608bb6-20bc-441d-886c-61f6a1a915b2" targetNamespace="http://schemas.microsoft.com/office/2006/metadata/properties" ma:root="true" ma:fieldsID="c0e05231431a7a0d10325ce9e8548454" ns2:_="" ns3:_="">
    <xsd:import namespace="a820c71f-5685-47de-ba44-85c4baabad3b"/>
    <xsd:import namespace="4d608bb6-20bc-441d-886c-61f6a1a915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20c71f-5685-47de-ba44-85c4baaba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c1ef846-5e2c-4421-89a0-dddaad8b48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608bb6-20bc-441d-886c-61f6a1a915b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2ed32b2-068d-4eb7-a8e2-008fd15792f6}" ma:internalName="TaxCatchAll" ma:showField="CatchAllData" ma:web="4d608bb6-20bc-441d-886c-61f6a1a915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8B6010-5620-4040-8635-FAB8A672CBC7}">
  <ds:schemaRefs>
    <ds:schemaRef ds:uri="http://schemas.microsoft.com/office/2006/metadata/properties"/>
    <ds:schemaRef ds:uri="http://schemas.microsoft.com/office/infopath/2007/PartnerControls"/>
    <ds:schemaRef ds:uri="a820c71f-5685-47de-ba44-85c4baabad3b"/>
    <ds:schemaRef ds:uri="4d608bb6-20bc-441d-886c-61f6a1a915b2"/>
  </ds:schemaRefs>
</ds:datastoreItem>
</file>

<file path=customXml/itemProps2.xml><?xml version="1.0" encoding="utf-8"?>
<ds:datastoreItem xmlns:ds="http://schemas.openxmlformats.org/officeDocument/2006/customXml" ds:itemID="{CDDFDC5B-1E88-4531-A1C2-752F9C7A4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20c71f-5685-47de-ba44-85c4baabad3b"/>
    <ds:schemaRef ds:uri="4d608bb6-20bc-441d-886c-61f6a1a915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377CC8-1715-43E9-AFAB-B6458E91BA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Weekly</vt:lpstr>
    </vt:vector>
  </TitlesOfParts>
  <Manager/>
  <Company>AlixPartners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Ahad, Bob</dc:creator>
  <cp:keywords/>
  <dc:description/>
  <cp:lastModifiedBy>Dziadzio, Kayla</cp:lastModifiedBy>
  <cp:revision/>
  <dcterms:created xsi:type="dcterms:W3CDTF">2025-03-25T17:39:23Z</dcterms:created>
  <dcterms:modified xsi:type="dcterms:W3CDTF">2026-04-28T19:34:07Z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72cc1d-329d-4be0-a613-3323bbc2942b_Enabled">
    <vt:lpwstr>true</vt:lpwstr>
  </property>
  <property fmtid="{D5CDD505-2E9C-101B-9397-08002B2CF9AE}" pid="3" name="MSIP_Label_4e72cc1d-329d-4be0-a613-3323bbc2942b_SetDate">
    <vt:lpwstr>2025-03-25T17:43:11Z</vt:lpwstr>
  </property>
  <property fmtid="{D5CDD505-2E9C-101B-9397-08002B2CF9AE}" pid="4" name="MSIP_Label_4e72cc1d-329d-4be0-a613-3323bbc2942b_Method">
    <vt:lpwstr>Standard</vt:lpwstr>
  </property>
  <property fmtid="{D5CDD505-2E9C-101B-9397-08002B2CF9AE}" pid="5" name="MSIP_Label_4e72cc1d-329d-4be0-a613-3323bbc2942b_Name">
    <vt:lpwstr>4e72cc1d-329d-4be0-a613-3323bbc2942b</vt:lpwstr>
  </property>
  <property fmtid="{D5CDD505-2E9C-101B-9397-08002B2CF9AE}" pid="6" name="MSIP_Label_4e72cc1d-329d-4be0-a613-3323bbc2942b_SiteId">
    <vt:lpwstr>cf55ce10-837b-42cd-8154-e9a4dbd18039</vt:lpwstr>
  </property>
  <property fmtid="{D5CDD505-2E9C-101B-9397-08002B2CF9AE}" pid="7" name="MSIP_Label_4e72cc1d-329d-4be0-a613-3323bbc2942b_ActionId">
    <vt:lpwstr>c282dccb-efb6-416d-9777-1a28c1aa868b</vt:lpwstr>
  </property>
  <property fmtid="{D5CDD505-2E9C-101B-9397-08002B2CF9AE}" pid="8" name="MSIP_Label_4e72cc1d-329d-4be0-a613-3323bbc2942b_ContentBits">
    <vt:lpwstr>2</vt:lpwstr>
  </property>
  <property fmtid="{D5CDD505-2E9C-101B-9397-08002B2CF9AE}" pid="9" name="MSIP_Label_4e72cc1d-329d-4be0-a613-3323bbc2942b_Tag">
    <vt:lpwstr>10, 3, 0, 1</vt:lpwstr>
  </property>
  <property fmtid="{D5CDD505-2E9C-101B-9397-08002B2CF9AE}" pid="10" name="ContentTypeId">
    <vt:lpwstr>0x010100DE73068182A6544484C05215C941293C</vt:lpwstr>
  </property>
  <property fmtid="{D5CDD505-2E9C-101B-9397-08002B2CF9AE}" pid="11" name="MediaServiceImageTags">
    <vt:lpwstr/>
  </property>
</Properties>
</file>